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SPECIALISTAS\"/>
    </mc:Choice>
  </mc:AlternateContent>
  <xr:revisionPtr revIDLastSave="0" documentId="13_ncr:1_{014FA7EE-EB29-4E0E-88F4-4410ADC995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D_VACANTES" sheetId="1" r:id="rId1"/>
    <sheet name="BD_CANDIDATOS" sheetId="2" r:id="rId2"/>
    <sheet name="BD_RECLUTADORES" sheetId="3" r:id="rId3"/>
    <sheet name="CATALOGO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5" l="1"/>
  <c r="D18" i="5" s="1"/>
  <c r="A17" i="5"/>
  <c r="D17" i="5" s="1"/>
  <c r="A16" i="5"/>
  <c r="D16" i="5" s="1"/>
  <c r="A15" i="5"/>
  <c r="D15" i="5" s="1"/>
  <c r="A14" i="5"/>
  <c r="D14" i="5" s="1"/>
  <c r="B10" i="5"/>
  <c r="E8" i="5"/>
  <c r="B8" i="5"/>
  <c r="B9" i="5" s="1"/>
  <c r="E7" i="5"/>
  <c r="B7" i="5"/>
  <c r="E6" i="5"/>
  <c r="E5" i="5"/>
  <c r="B5" i="5"/>
  <c r="E4" i="5"/>
  <c r="B4" i="5"/>
  <c r="H200" i="3"/>
  <c r="I200" i="3" s="1"/>
  <c r="G200" i="3"/>
  <c r="F200" i="3"/>
  <c r="D200" i="3"/>
  <c r="C200" i="3"/>
  <c r="H199" i="3"/>
  <c r="I199" i="3" s="1"/>
  <c r="G199" i="3"/>
  <c r="F199" i="3"/>
  <c r="D199" i="3"/>
  <c r="C199" i="3"/>
  <c r="H198" i="3"/>
  <c r="I198" i="3" s="1"/>
  <c r="G198" i="3"/>
  <c r="F198" i="3"/>
  <c r="D198" i="3"/>
  <c r="C198" i="3"/>
  <c r="H197" i="3"/>
  <c r="I197" i="3" s="1"/>
  <c r="G197" i="3"/>
  <c r="F197" i="3"/>
  <c r="D197" i="3"/>
  <c r="C197" i="3"/>
  <c r="H196" i="3"/>
  <c r="I196" i="3" s="1"/>
  <c r="G196" i="3"/>
  <c r="F196" i="3"/>
  <c r="D196" i="3"/>
  <c r="C196" i="3"/>
  <c r="H195" i="3"/>
  <c r="G195" i="3"/>
  <c r="F195" i="3"/>
  <c r="I195" i="3" s="1"/>
  <c r="D195" i="3"/>
  <c r="C195" i="3"/>
  <c r="H194" i="3"/>
  <c r="I194" i="3" s="1"/>
  <c r="G194" i="3"/>
  <c r="F194" i="3"/>
  <c r="D194" i="3"/>
  <c r="C194" i="3"/>
  <c r="H193" i="3"/>
  <c r="I193" i="3" s="1"/>
  <c r="G193" i="3"/>
  <c r="F193" i="3"/>
  <c r="D193" i="3"/>
  <c r="C193" i="3"/>
  <c r="H192" i="3"/>
  <c r="I192" i="3" s="1"/>
  <c r="G192" i="3"/>
  <c r="F192" i="3"/>
  <c r="D192" i="3"/>
  <c r="C192" i="3"/>
  <c r="H191" i="3"/>
  <c r="I191" i="3" s="1"/>
  <c r="G191" i="3"/>
  <c r="F191" i="3"/>
  <c r="D191" i="3"/>
  <c r="C191" i="3"/>
  <c r="H190" i="3"/>
  <c r="I190" i="3" s="1"/>
  <c r="G190" i="3"/>
  <c r="F190" i="3"/>
  <c r="D190" i="3"/>
  <c r="C190" i="3"/>
  <c r="H189" i="3"/>
  <c r="I189" i="3" s="1"/>
  <c r="G189" i="3"/>
  <c r="F189" i="3"/>
  <c r="D189" i="3"/>
  <c r="C189" i="3"/>
  <c r="H188" i="3"/>
  <c r="I188" i="3" s="1"/>
  <c r="G188" i="3"/>
  <c r="F188" i="3"/>
  <c r="D188" i="3"/>
  <c r="C188" i="3"/>
  <c r="H187" i="3"/>
  <c r="G187" i="3"/>
  <c r="F187" i="3"/>
  <c r="I187" i="3" s="1"/>
  <c r="D187" i="3"/>
  <c r="C187" i="3"/>
  <c r="H186" i="3"/>
  <c r="I186" i="3" s="1"/>
  <c r="G186" i="3"/>
  <c r="F186" i="3"/>
  <c r="D186" i="3"/>
  <c r="C186" i="3"/>
  <c r="H185" i="3"/>
  <c r="I185" i="3" s="1"/>
  <c r="G185" i="3"/>
  <c r="F185" i="3"/>
  <c r="D185" i="3"/>
  <c r="C185" i="3"/>
  <c r="H184" i="3"/>
  <c r="I184" i="3" s="1"/>
  <c r="G184" i="3"/>
  <c r="F184" i="3"/>
  <c r="D184" i="3"/>
  <c r="C184" i="3"/>
  <c r="H183" i="3"/>
  <c r="I183" i="3" s="1"/>
  <c r="G183" i="3"/>
  <c r="F183" i="3"/>
  <c r="D183" i="3"/>
  <c r="C183" i="3"/>
  <c r="H182" i="3"/>
  <c r="I182" i="3" s="1"/>
  <c r="G182" i="3"/>
  <c r="F182" i="3"/>
  <c r="D182" i="3"/>
  <c r="C182" i="3"/>
  <c r="H181" i="3"/>
  <c r="I181" i="3" s="1"/>
  <c r="G181" i="3"/>
  <c r="F181" i="3"/>
  <c r="D181" i="3"/>
  <c r="C181" i="3"/>
  <c r="H180" i="3"/>
  <c r="I180" i="3" s="1"/>
  <c r="G180" i="3"/>
  <c r="F180" i="3"/>
  <c r="D180" i="3"/>
  <c r="C180" i="3"/>
  <c r="H179" i="3"/>
  <c r="G179" i="3"/>
  <c r="F179" i="3"/>
  <c r="I179" i="3" s="1"/>
  <c r="D179" i="3"/>
  <c r="C179" i="3"/>
  <c r="H178" i="3"/>
  <c r="I178" i="3" s="1"/>
  <c r="G178" i="3"/>
  <c r="F178" i="3"/>
  <c r="D178" i="3"/>
  <c r="C178" i="3"/>
  <c r="H177" i="3"/>
  <c r="I177" i="3" s="1"/>
  <c r="G177" i="3"/>
  <c r="F177" i="3"/>
  <c r="D177" i="3"/>
  <c r="C177" i="3"/>
  <c r="H176" i="3"/>
  <c r="I176" i="3" s="1"/>
  <c r="G176" i="3"/>
  <c r="F176" i="3"/>
  <c r="D176" i="3"/>
  <c r="C176" i="3"/>
  <c r="H175" i="3"/>
  <c r="I175" i="3" s="1"/>
  <c r="G175" i="3"/>
  <c r="F175" i="3"/>
  <c r="D175" i="3"/>
  <c r="C175" i="3"/>
  <c r="H174" i="3"/>
  <c r="I174" i="3" s="1"/>
  <c r="G174" i="3"/>
  <c r="F174" i="3"/>
  <c r="D174" i="3"/>
  <c r="C174" i="3"/>
  <c r="H173" i="3"/>
  <c r="I173" i="3" s="1"/>
  <c r="G173" i="3"/>
  <c r="F173" i="3"/>
  <c r="D173" i="3"/>
  <c r="C173" i="3"/>
  <c r="H172" i="3"/>
  <c r="I172" i="3" s="1"/>
  <c r="G172" i="3"/>
  <c r="F172" i="3"/>
  <c r="D172" i="3"/>
  <c r="C172" i="3"/>
  <c r="H171" i="3"/>
  <c r="G171" i="3"/>
  <c r="F171" i="3"/>
  <c r="I171" i="3" s="1"/>
  <c r="D171" i="3"/>
  <c r="C171" i="3"/>
  <c r="H170" i="3"/>
  <c r="I170" i="3" s="1"/>
  <c r="G170" i="3"/>
  <c r="F170" i="3"/>
  <c r="D170" i="3"/>
  <c r="C170" i="3"/>
  <c r="H169" i="3"/>
  <c r="I169" i="3" s="1"/>
  <c r="G169" i="3"/>
  <c r="F169" i="3"/>
  <c r="D169" i="3"/>
  <c r="C169" i="3"/>
  <c r="H168" i="3"/>
  <c r="I168" i="3" s="1"/>
  <c r="G168" i="3"/>
  <c r="F168" i="3"/>
  <c r="D168" i="3"/>
  <c r="C168" i="3"/>
  <c r="H167" i="3"/>
  <c r="I167" i="3" s="1"/>
  <c r="G167" i="3"/>
  <c r="F167" i="3"/>
  <c r="D167" i="3"/>
  <c r="C167" i="3"/>
  <c r="H166" i="3"/>
  <c r="I166" i="3" s="1"/>
  <c r="G166" i="3"/>
  <c r="F166" i="3"/>
  <c r="D166" i="3"/>
  <c r="C166" i="3"/>
  <c r="H165" i="3"/>
  <c r="I165" i="3" s="1"/>
  <c r="G165" i="3"/>
  <c r="F165" i="3"/>
  <c r="D165" i="3"/>
  <c r="C165" i="3"/>
  <c r="H164" i="3"/>
  <c r="I164" i="3" s="1"/>
  <c r="G164" i="3"/>
  <c r="F164" i="3"/>
  <c r="D164" i="3"/>
  <c r="C164" i="3"/>
  <c r="H163" i="3"/>
  <c r="G163" i="3"/>
  <c r="F163" i="3"/>
  <c r="I163" i="3" s="1"/>
  <c r="D163" i="3"/>
  <c r="C163" i="3"/>
  <c r="H162" i="3"/>
  <c r="I162" i="3" s="1"/>
  <c r="G162" i="3"/>
  <c r="F162" i="3"/>
  <c r="D162" i="3"/>
  <c r="C162" i="3"/>
  <c r="H161" i="3"/>
  <c r="I161" i="3" s="1"/>
  <c r="G161" i="3"/>
  <c r="F161" i="3"/>
  <c r="D161" i="3"/>
  <c r="C161" i="3"/>
  <c r="H160" i="3"/>
  <c r="I160" i="3" s="1"/>
  <c r="G160" i="3"/>
  <c r="F160" i="3"/>
  <c r="D160" i="3"/>
  <c r="C160" i="3"/>
  <c r="H159" i="3"/>
  <c r="I159" i="3" s="1"/>
  <c r="G159" i="3"/>
  <c r="F159" i="3"/>
  <c r="D159" i="3"/>
  <c r="C159" i="3"/>
  <c r="H158" i="3"/>
  <c r="I158" i="3" s="1"/>
  <c r="G158" i="3"/>
  <c r="F158" i="3"/>
  <c r="D158" i="3"/>
  <c r="C158" i="3"/>
  <c r="H157" i="3"/>
  <c r="I157" i="3" s="1"/>
  <c r="G157" i="3"/>
  <c r="F157" i="3"/>
  <c r="D157" i="3"/>
  <c r="C157" i="3"/>
  <c r="H156" i="3"/>
  <c r="I156" i="3" s="1"/>
  <c r="G156" i="3"/>
  <c r="F156" i="3"/>
  <c r="D156" i="3"/>
  <c r="C156" i="3"/>
  <c r="H155" i="3"/>
  <c r="G155" i="3"/>
  <c r="F155" i="3"/>
  <c r="I155" i="3" s="1"/>
  <c r="D155" i="3"/>
  <c r="C155" i="3"/>
  <c r="H154" i="3"/>
  <c r="I154" i="3" s="1"/>
  <c r="G154" i="3"/>
  <c r="F154" i="3"/>
  <c r="D154" i="3"/>
  <c r="C154" i="3"/>
  <c r="H153" i="3"/>
  <c r="I153" i="3" s="1"/>
  <c r="G153" i="3"/>
  <c r="F153" i="3"/>
  <c r="D153" i="3"/>
  <c r="C153" i="3"/>
  <c r="H152" i="3"/>
  <c r="I152" i="3" s="1"/>
  <c r="G152" i="3"/>
  <c r="F152" i="3"/>
  <c r="D152" i="3"/>
  <c r="C152" i="3"/>
  <c r="H151" i="3"/>
  <c r="I151" i="3" s="1"/>
  <c r="G151" i="3"/>
  <c r="F151" i="3"/>
  <c r="D151" i="3"/>
  <c r="C151" i="3"/>
  <c r="H150" i="3"/>
  <c r="I150" i="3" s="1"/>
  <c r="G150" i="3"/>
  <c r="F150" i="3"/>
  <c r="D150" i="3"/>
  <c r="C150" i="3"/>
  <c r="H149" i="3"/>
  <c r="I149" i="3" s="1"/>
  <c r="G149" i="3"/>
  <c r="F149" i="3"/>
  <c r="D149" i="3"/>
  <c r="C149" i="3"/>
  <c r="H148" i="3"/>
  <c r="I148" i="3" s="1"/>
  <c r="G148" i="3"/>
  <c r="F148" i="3"/>
  <c r="D148" i="3"/>
  <c r="C148" i="3"/>
  <c r="H147" i="3"/>
  <c r="I147" i="3" s="1"/>
  <c r="G147" i="3"/>
  <c r="F147" i="3"/>
  <c r="D147" i="3"/>
  <c r="C147" i="3"/>
  <c r="H146" i="3"/>
  <c r="I146" i="3" s="1"/>
  <c r="G146" i="3"/>
  <c r="F146" i="3"/>
  <c r="D146" i="3"/>
  <c r="C146" i="3"/>
  <c r="H145" i="3"/>
  <c r="I145" i="3" s="1"/>
  <c r="G145" i="3"/>
  <c r="F145" i="3"/>
  <c r="D145" i="3"/>
  <c r="C145" i="3"/>
  <c r="H144" i="3"/>
  <c r="I144" i="3" s="1"/>
  <c r="G144" i="3"/>
  <c r="F144" i="3"/>
  <c r="D144" i="3"/>
  <c r="C144" i="3"/>
  <c r="H143" i="3"/>
  <c r="I143" i="3" s="1"/>
  <c r="G143" i="3"/>
  <c r="F143" i="3"/>
  <c r="D143" i="3"/>
  <c r="C143" i="3"/>
  <c r="H142" i="3"/>
  <c r="I142" i="3" s="1"/>
  <c r="G142" i="3"/>
  <c r="F142" i="3"/>
  <c r="D142" i="3"/>
  <c r="C142" i="3"/>
  <c r="H141" i="3"/>
  <c r="I141" i="3" s="1"/>
  <c r="G141" i="3"/>
  <c r="F141" i="3"/>
  <c r="D141" i="3"/>
  <c r="C141" i="3"/>
  <c r="H140" i="3"/>
  <c r="I140" i="3" s="1"/>
  <c r="G140" i="3"/>
  <c r="F140" i="3"/>
  <c r="D140" i="3"/>
  <c r="C140" i="3"/>
  <c r="H139" i="3"/>
  <c r="I139" i="3" s="1"/>
  <c r="G139" i="3"/>
  <c r="F139" i="3"/>
  <c r="D139" i="3"/>
  <c r="C139" i="3"/>
  <c r="H138" i="3"/>
  <c r="I138" i="3" s="1"/>
  <c r="G138" i="3"/>
  <c r="F138" i="3"/>
  <c r="D138" i="3"/>
  <c r="C138" i="3"/>
  <c r="H137" i="3"/>
  <c r="I137" i="3" s="1"/>
  <c r="G137" i="3"/>
  <c r="F137" i="3"/>
  <c r="D137" i="3"/>
  <c r="C137" i="3"/>
  <c r="H136" i="3"/>
  <c r="I136" i="3" s="1"/>
  <c r="G136" i="3"/>
  <c r="F136" i="3"/>
  <c r="D136" i="3"/>
  <c r="C136" i="3"/>
  <c r="H135" i="3"/>
  <c r="I135" i="3" s="1"/>
  <c r="G135" i="3"/>
  <c r="F135" i="3"/>
  <c r="D135" i="3"/>
  <c r="C135" i="3"/>
  <c r="H134" i="3"/>
  <c r="I134" i="3" s="1"/>
  <c r="G134" i="3"/>
  <c r="F134" i="3"/>
  <c r="D134" i="3"/>
  <c r="C134" i="3"/>
  <c r="H133" i="3"/>
  <c r="I133" i="3" s="1"/>
  <c r="G133" i="3"/>
  <c r="F133" i="3"/>
  <c r="D133" i="3"/>
  <c r="C133" i="3"/>
  <c r="H132" i="3"/>
  <c r="I132" i="3" s="1"/>
  <c r="G132" i="3"/>
  <c r="F132" i="3"/>
  <c r="D132" i="3"/>
  <c r="C132" i="3"/>
  <c r="H131" i="3"/>
  <c r="I131" i="3" s="1"/>
  <c r="G131" i="3"/>
  <c r="F131" i="3"/>
  <c r="D131" i="3"/>
  <c r="C131" i="3"/>
  <c r="H130" i="3"/>
  <c r="I130" i="3" s="1"/>
  <c r="G130" i="3"/>
  <c r="F130" i="3"/>
  <c r="D130" i="3"/>
  <c r="C130" i="3"/>
  <c r="H129" i="3"/>
  <c r="I129" i="3" s="1"/>
  <c r="G129" i="3"/>
  <c r="F129" i="3"/>
  <c r="D129" i="3"/>
  <c r="C129" i="3"/>
  <c r="H128" i="3"/>
  <c r="I128" i="3" s="1"/>
  <c r="G128" i="3"/>
  <c r="F128" i="3"/>
  <c r="D128" i="3"/>
  <c r="C128" i="3"/>
  <c r="H127" i="3"/>
  <c r="I127" i="3" s="1"/>
  <c r="G127" i="3"/>
  <c r="F127" i="3"/>
  <c r="D127" i="3"/>
  <c r="C127" i="3"/>
  <c r="H126" i="3"/>
  <c r="I126" i="3" s="1"/>
  <c r="G126" i="3"/>
  <c r="F126" i="3"/>
  <c r="D126" i="3"/>
  <c r="C126" i="3"/>
  <c r="H125" i="3"/>
  <c r="I125" i="3" s="1"/>
  <c r="G125" i="3"/>
  <c r="F125" i="3"/>
  <c r="D125" i="3"/>
  <c r="C125" i="3"/>
  <c r="H124" i="3"/>
  <c r="I124" i="3" s="1"/>
  <c r="G124" i="3"/>
  <c r="F124" i="3"/>
  <c r="D124" i="3"/>
  <c r="C124" i="3"/>
  <c r="H123" i="3"/>
  <c r="I123" i="3" s="1"/>
  <c r="G123" i="3"/>
  <c r="F123" i="3"/>
  <c r="D123" i="3"/>
  <c r="C123" i="3"/>
  <c r="H122" i="3"/>
  <c r="I122" i="3" s="1"/>
  <c r="G122" i="3"/>
  <c r="F122" i="3"/>
  <c r="D122" i="3"/>
  <c r="C122" i="3"/>
  <c r="H121" i="3"/>
  <c r="I121" i="3" s="1"/>
  <c r="G121" i="3"/>
  <c r="F121" i="3"/>
  <c r="D121" i="3"/>
  <c r="C121" i="3"/>
  <c r="H120" i="3"/>
  <c r="I120" i="3" s="1"/>
  <c r="G120" i="3"/>
  <c r="F120" i="3"/>
  <c r="D120" i="3"/>
  <c r="C120" i="3"/>
  <c r="H119" i="3"/>
  <c r="I119" i="3" s="1"/>
  <c r="G119" i="3"/>
  <c r="F119" i="3"/>
  <c r="D119" i="3"/>
  <c r="C119" i="3"/>
  <c r="H118" i="3"/>
  <c r="I118" i="3" s="1"/>
  <c r="G118" i="3"/>
  <c r="F118" i="3"/>
  <c r="D118" i="3"/>
  <c r="C118" i="3"/>
  <c r="H117" i="3"/>
  <c r="I117" i="3" s="1"/>
  <c r="G117" i="3"/>
  <c r="F117" i="3"/>
  <c r="D117" i="3"/>
  <c r="C117" i="3"/>
  <c r="H116" i="3"/>
  <c r="I116" i="3" s="1"/>
  <c r="G116" i="3"/>
  <c r="F116" i="3"/>
  <c r="D116" i="3"/>
  <c r="C116" i="3"/>
  <c r="H115" i="3"/>
  <c r="I115" i="3" s="1"/>
  <c r="G115" i="3"/>
  <c r="F115" i="3"/>
  <c r="D115" i="3"/>
  <c r="C115" i="3"/>
  <c r="H114" i="3"/>
  <c r="I114" i="3" s="1"/>
  <c r="G114" i="3"/>
  <c r="F114" i="3"/>
  <c r="D114" i="3"/>
  <c r="C114" i="3"/>
  <c r="H113" i="3"/>
  <c r="I113" i="3" s="1"/>
  <c r="G113" i="3"/>
  <c r="F113" i="3"/>
  <c r="D113" i="3"/>
  <c r="C113" i="3"/>
  <c r="H112" i="3"/>
  <c r="I112" i="3" s="1"/>
  <c r="G112" i="3"/>
  <c r="F112" i="3"/>
  <c r="D112" i="3"/>
  <c r="C112" i="3"/>
  <c r="H111" i="3"/>
  <c r="I111" i="3" s="1"/>
  <c r="G111" i="3"/>
  <c r="F111" i="3"/>
  <c r="D111" i="3"/>
  <c r="C111" i="3"/>
  <c r="H110" i="3"/>
  <c r="I110" i="3" s="1"/>
  <c r="G110" i="3"/>
  <c r="F110" i="3"/>
  <c r="D110" i="3"/>
  <c r="C110" i="3"/>
  <c r="H109" i="3"/>
  <c r="I109" i="3" s="1"/>
  <c r="G109" i="3"/>
  <c r="F109" i="3"/>
  <c r="D109" i="3"/>
  <c r="C109" i="3"/>
  <c r="H108" i="3"/>
  <c r="I108" i="3" s="1"/>
  <c r="G108" i="3"/>
  <c r="F108" i="3"/>
  <c r="D108" i="3"/>
  <c r="C108" i="3"/>
  <c r="H107" i="3"/>
  <c r="I107" i="3" s="1"/>
  <c r="G107" i="3"/>
  <c r="F107" i="3"/>
  <c r="D107" i="3"/>
  <c r="C107" i="3"/>
  <c r="H106" i="3"/>
  <c r="I106" i="3" s="1"/>
  <c r="G106" i="3"/>
  <c r="F106" i="3"/>
  <c r="D106" i="3"/>
  <c r="C106" i="3"/>
  <c r="H105" i="3"/>
  <c r="I105" i="3" s="1"/>
  <c r="G105" i="3"/>
  <c r="F105" i="3"/>
  <c r="D105" i="3"/>
  <c r="C105" i="3"/>
  <c r="H104" i="3"/>
  <c r="I104" i="3" s="1"/>
  <c r="G104" i="3"/>
  <c r="F104" i="3"/>
  <c r="D104" i="3"/>
  <c r="C104" i="3"/>
  <c r="H103" i="3"/>
  <c r="I103" i="3" s="1"/>
  <c r="G103" i="3"/>
  <c r="F103" i="3"/>
  <c r="D103" i="3"/>
  <c r="C103" i="3"/>
  <c r="H102" i="3"/>
  <c r="I102" i="3" s="1"/>
  <c r="G102" i="3"/>
  <c r="F102" i="3"/>
  <c r="D102" i="3"/>
  <c r="C102" i="3"/>
  <c r="H101" i="3"/>
  <c r="I101" i="3" s="1"/>
  <c r="G101" i="3"/>
  <c r="F101" i="3"/>
  <c r="D101" i="3"/>
  <c r="C101" i="3"/>
  <c r="H100" i="3"/>
  <c r="I100" i="3" s="1"/>
  <c r="G100" i="3"/>
  <c r="F100" i="3"/>
  <c r="D100" i="3"/>
  <c r="C100" i="3"/>
  <c r="H99" i="3"/>
  <c r="I99" i="3" s="1"/>
  <c r="G99" i="3"/>
  <c r="F99" i="3"/>
  <c r="D99" i="3"/>
  <c r="C99" i="3"/>
  <c r="H98" i="3"/>
  <c r="I98" i="3" s="1"/>
  <c r="G98" i="3"/>
  <c r="F98" i="3"/>
  <c r="D98" i="3"/>
  <c r="C98" i="3"/>
  <c r="H97" i="3"/>
  <c r="I97" i="3" s="1"/>
  <c r="G97" i="3"/>
  <c r="F97" i="3"/>
  <c r="D97" i="3"/>
  <c r="C97" i="3"/>
  <c r="H96" i="3"/>
  <c r="I96" i="3" s="1"/>
  <c r="G96" i="3"/>
  <c r="F96" i="3"/>
  <c r="D96" i="3"/>
  <c r="C96" i="3"/>
  <c r="H95" i="3"/>
  <c r="I95" i="3" s="1"/>
  <c r="G95" i="3"/>
  <c r="F95" i="3"/>
  <c r="D95" i="3"/>
  <c r="C95" i="3"/>
  <c r="H94" i="3"/>
  <c r="I94" i="3" s="1"/>
  <c r="G94" i="3"/>
  <c r="F94" i="3"/>
  <c r="D94" i="3"/>
  <c r="C94" i="3"/>
  <c r="H93" i="3"/>
  <c r="I93" i="3" s="1"/>
  <c r="G93" i="3"/>
  <c r="F93" i="3"/>
  <c r="D93" i="3"/>
  <c r="C93" i="3"/>
  <c r="H92" i="3"/>
  <c r="I92" i="3" s="1"/>
  <c r="G92" i="3"/>
  <c r="F92" i="3"/>
  <c r="D92" i="3"/>
  <c r="C92" i="3"/>
  <c r="H91" i="3"/>
  <c r="I91" i="3" s="1"/>
  <c r="G91" i="3"/>
  <c r="F91" i="3"/>
  <c r="D91" i="3"/>
  <c r="C91" i="3"/>
  <c r="H90" i="3"/>
  <c r="I90" i="3" s="1"/>
  <c r="G90" i="3"/>
  <c r="F90" i="3"/>
  <c r="D90" i="3"/>
  <c r="C90" i="3"/>
  <c r="H89" i="3"/>
  <c r="I89" i="3" s="1"/>
  <c r="G89" i="3"/>
  <c r="F89" i="3"/>
  <c r="D89" i="3"/>
  <c r="C89" i="3"/>
  <c r="H88" i="3"/>
  <c r="I88" i="3" s="1"/>
  <c r="G88" i="3"/>
  <c r="F88" i="3"/>
  <c r="D88" i="3"/>
  <c r="C88" i="3"/>
  <c r="H87" i="3"/>
  <c r="I87" i="3" s="1"/>
  <c r="G87" i="3"/>
  <c r="F87" i="3"/>
  <c r="D87" i="3"/>
  <c r="C87" i="3"/>
  <c r="H86" i="3"/>
  <c r="I86" i="3" s="1"/>
  <c r="G86" i="3"/>
  <c r="F86" i="3"/>
  <c r="D86" i="3"/>
  <c r="C86" i="3"/>
  <c r="H85" i="3"/>
  <c r="I85" i="3" s="1"/>
  <c r="G85" i="3"/>
  <c r="F85" i="3"/>
  <c r="D85" i="3"/>
  <c r="C85" i="3"/>
  <c r="H84" i="3"/>
  <c r="I84" i="3" s="1"/>
  <c r="G84" i="3"/>
  <c r="F84" i="3"/>
  <c r="D84" i="3"/>
  <c r="C84" i="3"/>
  <c r="H83" i="3"/>
  <c r="I83" i="3" s="1"/>
  <c r="G83" i="3"/>
  <c r="F83" i="3"/>
  <c r="D83" i="3"/>
  <c r="C83" i="3"/>
  <c r="H82" i="3"/>
  <c r="I82" i="3" s="1"/>
  <c r="G82" i="3"/>
  <c r="F82" i="3"/>
  <c r="D82" i="3"/>
  <c r="C82" i="3"/>
  <c r="H81" i="3"/>
  <c r="I81" i="3" s="1"/>
  <c r="G81" i="3"/>
  <c r="F81" i="3"/>
  <c r="D81" i="3"/>
  <c r="C81" i="3"/>
  <c r="H80" i="3"/>
  <c r="I80" i="3" s="1"/>
  <c r="G80" i="3"/>
  <c r="F80" i="3"/>
  <c r="D80" i="3"/>
  <c r="C80" i="3"/>
  <c r="H79" i="3"/>
  <c r="I79" i="3" s="1"/>
  <c r="G79" i="3"/>
  <c r="F79" i="3"/>
  <c r="D79" i="3"/>
  <c r="C79" i="3"/>
  <c r="H78" i="3"/>
  <c r="I78" i="3" s="1"/>
  <c r="G78" i="3"/>
  <c r="F78" i="3"/>
  <c r="D78" i="3"/>
  <c r="C78" i="3"/>
  <c r="H77" i="3"/>
  <c r="I77" i="3" s="1"/>
  <c r="G77" i="3"/>
  <c r="F77" i="3"/>
  <c r="D77" i="3"/>
  <c r="C77" i="3"/>
  <c r="H76" i="3"/>
  <c r="I76" i="3" s="1"/>
  <c r="G76" i="3"/>
  <c r="F76" i="3"/>
  <c r="D76" i="3"/>
  <c r="C76" i="3"/>
  <c r="H75" i="3"/>
  <c r="I75" i="3" s="1"/>
  <c r="G75" i="3"/>
  <c r="F75" i="3"/>
  <c r="D75" i="3"/>
  <c r="C75" i="3"/>
  <c r="H74" i="3"/>
  <c r="I74" i="3" s="1"/>
  <c r="G74" i="3"/>
  <c r="F74" i="3"/>
  <c r="D74" i="3"/>
  <c r="C74" i="3"/>
  <c r="H73" i="3"/>
  <c r="I73" i="3" s="1"/>
  <c r="G73" i="3"/>
  <c r="F73" i="3"/>
  <c r="D73" i="3"/>
  <c r="C73" i="3"/>
  <c r="H72" i="3"/>
  <c r="I72" i="3" s="1"/>
  <c r="G72" i="3"/>
  <c r="F72" i="3"/>
  <c r="D72" i="3"/>
  <c r="C72" i="3"/>
  <c r="H71" i="3"/>
  <c r="I71" i="3" s="1"/>
  <c r="G71" i="3"/>
  <c r="F71" i="3"/>
  <c r="D71" i="3"/>
  <c r="C71" i="3"/>
  <c r="H70" i="3"/>
  <c r="I70" i="3" s="1"/>
  <c r="G70" i="3"/>
  <c r="F70" i="3"/>
  <c r="D70" i="3"/>
  <c r="C70" i="3"/>
  <c r="H69" i="3"/>
  <c r="I69" i="3" s="1"/>
  <c r="G69" i="3"/>
  <c r="F69" i="3"/>
  <c r="D69" i="3"/>
  <c r="C69" i="3"/>
  <c r="H68" i="3"/>
  <c r="I68" i="3" s="1"/>
  <c r="G68" i="3"/>
  <c r="F68" i="3"/>
  <c r="D68" i="3"/>
  <c r="C68" i="3"/>
  <c r="H67" i="3"/>
  <c r="I67" i="3" s="1"/>
  <c r="G67" i="3"/>
  <c r="F67" i="3"/>
  <c r="D67" i="3"/>
  <c r="C67" i="3"/>
  <c r="H66" i="3"/>
  <c r="I66" i="3" s="1"/>
  <c r="G66" i="3"/>
  <c r="F66" i="3"/>
  <c r="D66" i="3"/>
  <c r="C66" i="3"/>
  <c r="H65" i="3"/>
  <c r="I65" i="3" s="1"/>
  <c r="G65" i="3"/>
  <c r="F65" i="3"/>
  <c r="D65" i="3"/>
  <c r="C65" i="3"/>
  <c r="H64" i="3"/>
  <c r="I64" i="3" s="1"/>
  <c r="G64" i="3"/>
  <c r="F64" i="3"/>
  <c r="D64" i="3"/>
  <c r="C64" i="3"/>
  <c r="H63" i="3"/>
  <c r="I63" i="3" s="1"/>
  <c r="G63" i="3"/>
  <c r="F63" i="3"/>
  <c r="D63" i="3"/>
  <c r="C63" i="3"/>
  <c r="H62" i="3"/>
  <c r="I62" i="3" s="1"/>
  <c r="G62" i="3"/>
  <c r="F62" i="3"/>
  <c r="D62" i="3"/>
  <c r="C62" i="3"/>
  <c r="H61" i="3"/>
  <c r="I61" i="3" s="1"/>
  <c r="G61" i="3"/>
  <c r="F61" i="3"/>
  <c r="D61" i="3"/>
  <c r="C61" i="3"/>
  <c r="H60" i="3"/>
  <c r="I60" i="3" s="1"/>
  <c r="G60" i="3"/>
  <c r="F60" i="3"/>
  <c r="D60" i="3"/>
  <c r="C60" i="3"/>
  <c r="H59" i="3"/>
  <c r="I59" i="3" s="1"/>
  <c r="G59" i="3"/>
  <c r="F59" i="3"/>
  <c r="D59" i="3"/>
  <c r="C59" i="3"/>
  <c r="H58" i="3"/>
  <c r="I58" i="3" s="1"/>
  <c r="G58" i="3"/>
  <c r="F58" i="3"/>
  <c r="D58" i="3"/>
  <c r="C58" i="3"/>
  <c r="H57" i="3"/>
  <c r="I57" i="3" s="1"/>
  <c r="G57" i="3"/>
  <c r="F57" i="3"/>
  <c r="D57" i="3"/>
  <c r="C57" i="3"/>
  <c r="H56" i="3"/>
  <c r="I56" i="3" s="1"/>
  <c r="G56" i="3"/>
  <c r="F56" i="3"/>
  <c r="D56" i="3"/>
  <c r="C56" i="3"/>
  <c r="H55" i="3"/>
  <c r="I55" i="3" s="1"/>
  <c r="G55" i="3"/>
  <c r="F55" i="3"/>
  <c r="D55" i="3"/>
  <c r="C55" i="3"/>
  <c r="H54" i="3"/>
  <c r="I54" i="3" s="1"/>
  <c r="G54" i="3"/>
  <c r="F54" i="3"/>
  <c r="D54" i="3"/>
  <c r="C54" i="3"/>
  <c r="H53" i="3"/>
  <c r="I53" i="3" s="1"/>
  <c r="G53" i="3"/>
  <c r="F53" i="3"/>
  <c r="D53" i="3"/>
  <c r="C53" i="3"/>
  <c r="H52" i="3"/>
  <c r="I52" i="3" s="1"/>
  <c r="G52" i="3"/>
  <c r="F52" i="3"/>
  <c r="D52" i="3"/>
  <c r="C52" i="3"/>
  <c r="H51" i="3"/>
  <c r="I51" i="3" s="1"/>
  <c r="G51" i="3"/>
  <c r="F51" i="3"/>
  <c r="D51" i="3"/>
  <c r="C51" i="3"/>
  <c r="H50" i="3"/>
  <c r="I50" i="3" s="1"/>
  <c r="G50" i="3"/>
  <c r="F50" i="3"/>
  <c r="D50" i="3"/>
  <c r="C50" i="3"/>
  <c r="H49" i="3"/>
  <c r="I49" i="3" s="1"/>
  <c r="G49" i="3"/>
  <c r="F49" i="3"/>
  <c r="D49" i="3"/>
  <c r="C49" i="3"/>
  <c r="H48" i="3"/>
  <c r="I48" i="3" s="1"/>
  <c r="G48" i="3"/>
  <c r="F48" i="3"/>
  <c r="D48" i="3"/>
  <c r="C48" i="3"/>
  <c r="H47" i="3"/>
  <c r="I47" i="3" s="1"/>
  <c r="G47" i="3"/>
  <c r="F47" i="3"/>
  <c r="D47" i="3"/>
  <c r="C47" i="3"/>
  <c r="H46" i="3"/>
  <c r="I46" i="3" s="1"/>
  <c r="G46" i="3"/>
  <c r="F46" i="3"/>
  <c r="D46" i="3"/>
  <c r="C46" i="3"/>
  <c r="H45" i="3"/>
  <c r="I45" i="3" s="1"/>
  <c r="G45" i="3"/>
  <c r="F45" i="3"/>
  <c r="D45" i="3"/>
  <c r="C45" i="3"/>
  <c r="H44" i="3"/>
  <c r="I44" i="3" s="1"/>
  <c r="G44" i="3"/>
  <c r="F44" i="3"/>
  <c r="D44" i="3"/>
  <c r="C44" i="3"/>
  <c r="H43" i="3"/>
  <c r="I43" i="3" s="1"/>
  <c r="G43" i="3"/>
  <c r="F43" i="3"/>
  <c r="D43" i="3"/>
  <c r="C43" i="3"/>
  <c r="H42" i="3"/>
  <c r="I42" i="3" s="1"/>
  <c r="G42" i="3"/>
  <c r="F42" i="3"/>
  <c r="D42" i="3"/>
  <c r="C42" i="3"/>
  <c r="H41" i="3"/>
  <c r="I41" i="3" s="1"/>
  <c r="G41" i="3"/>
  <c r="F41" i="3"/>
  <c r="D41" i="3"/>
  <c r="C41" i="3"/>
  <c r="H40" i="3"/>
  <c r="I40" i="3" s="1"/>
  <c r="G40" i="3"/>
  <c r="F40" i="3"/>
  <c r="D40" i="3"/>
  <c r="C40" i="3"/>
  <c r="H39" i="3"/>
  <c r="I39" i="3" s="1"/>
  <c r="G39" i="3"/>
  <c r="F39" i="3"/>
  <c r="D39" i="3"/>
  <c r="C39" i="3"/>
  <c r="H38" i="3"/>
  <c r="I38" i="3" s="1"/>
  <c r="G38" i="3"/>
  <c r="F38" i="3"/>
  <c r="D38" i="3"/>
  <c r="C38" i="3"/>
  <c r="H37" i="3"/>
  <c r="I37" i="3" s="1"/>
  <c r="G37" i="3"/>
  <c r="F37" i="3"/>
  <c r="D37" i="3"/>
  <c r="C37" i="3"/>
  <c r="H36" i="3"/>
  <c r="I36" i="3" s="1"/>
  <c r="G36" i="3"/>
  <c r="F36" i="3"/>
  <c r="D36" i="3"/>
  <c r="C36" i="3"/>
  <c r="H35" i="3"/>
  <c r="I35" i="3" s="1"/>
  <c r="G35" i="3"/>
  <c r="F35" i="3"/>
  <c r="D35" i="3"/>
  <c r="C35" i="3"/>
  <c r="H34" i="3"/>
  <c r="I34" i="3" s="1"/>
  <c r="G34" i="3"/>
  <c r="F34" i="3"/>
  <c r="D34" i="3"/>
  <c r="C34" i="3"/>
  <c r="H33" i="3"/>
  <c r="I33" i="3" s="1"/>
  <c r="G33" i="3"/>
  <c r="F33" i="3"/>
  <c r="D33" i="3"/>
  <c r="C33" i="3"/>
  <c r="H32" i="3"/>
  <c r="I32" i="3" s="1"/>
  <c r="G32" i="3"/>
  <c r="F32" i="3"/>
  <c r="D32" i="3"/>
  <c r="C32" i="3"/>
  <c r="H31" i="3"/>
  <c r="I31" i="3" s="1"/>
  <c r="G31" i="3"/>
  <c r="F31" i="3"/>
  <c r="D31" i="3"/>
  <c r="C31" i="3"/>
  <c r="H30" i="3"/>
  <c r="I30" i="3" s="1"/>
  <c r="G30" i="3"/>
  <c r="F30" i="3"/>
  <c r="D30" i="3"/>
  <c r="C30" i="3"/>
  <c r="H29" i="3"/>
  <c r="I29" i="3" s="1"/>
  <c r="G29" i="3"/>
  <c r="F29" i="3"/>
  <c r="D29" i="3"/>
  <c r="C29" i="3"/>
  <c r="H28" i="3"/>
  <c r="I28" i="3" s="1"/>
  <c r="G28" i="3"/>
  <c r="F28" i="3"/>
  <c r="D28" i="3"/>
  <c r="C28" i="3"/>
  <c r="H27" i="3"/>
  <c r="I27" i="3" s="1"/>
  <c r="G27" i="3"/>
  <c r="F27" i="3"/>
  <c r="D27" i="3"/>
  <c r="C27" i="3"/>
  <c r="H26" i="3"/>
  <c r="I26" i="3" s="1"/>
  <c r="G26" i="3"/>
  <c r="F26" i="3"/>
  <c r="D26" i="3"/>
  <c r="C26" i="3"/>
  <c r="H25" i="3"/>
  <c r="I25" i="3" s="1"/>
  <c r="G25" i="3"/>
  <c r="F25" i="3"/>
  <c r="D25" i="3"/>
  <c r="C25" i="3"/>
  <c r="H24" i="3"/>
  <c r="I24" i="3" s="1"/>
  <c r="G24" i="3"/>
  <c r="F24" i="3"/>
  <c r="D24" i="3"/>
  <c r="C24" i="3"/>
  <c r="H23" i="3"/>
  <c r="I23" i="3" s="1"/>
  <c r="G23" i="3"/>
  <c r="F23" i="3"/>
  <c r="D23" i="3"/>
  <c r="C23" i="3"/>
  <c r="H22" i="3"/>
  <c r="I22" i="3" s="1"/>
  <c r="G22" i="3"/>
  <c r="F22" i="3"/>
  <c r="D22" i="3"/>
  <c r="C22" i="3"/>
  <c r="H21" i="3"/>
  <c r="I21" i="3" s="1"/>
  <c r="G21" i="3"/>
  <c r="F21" i="3"/>
  <c r="D21" i="3"/>
  <c r="C21" i="3"/>
  <c r="H20" i="3"/>
  <c r="I20" i="3" s="1"/>
  <c r="G20" i="3"/>
  <c r="F20" i="3"/>
  <c r="D20" i="3"/>
  <c r="C20" i="3"/>
  <c r="H19" i="3"/>
  <c r="I19" i="3" s="1"/>
  <c r="G19" i="3"/>
  <c r="F19" i="3"/>
  <c r="D19" i="3"/>
  <c r="C19" i="3"/>
  <c r="H18" i="3"/>
  <c r="I18" i="3" s="1"/>
  <c r="G18" i="3"/>
  <c r="F18" i="3"/>
  <c r="D18" i="3"/>
  <c r="C18" i="3"/>
  <c r="H17" i="3"/>
  <c r="I17" i="3" s="1"/>
  <c r="G17" i="3"/>
  <c r="F17" i="3"/>
  <c r="D17" i="3"/>
  <c r="C17" i="3"/>
  <c r="H16" i="3"/>
  <c r="I16" i="3" s="1"/>
  <c r="G16" i="3"/>
  <c r="F16" i="3"/>
  <c r="D16" i="3"/>
  <c r="C16" i="3"/>
  <c r="H15" i="3"/>
  <c r="I15" i="3" s="1"/>
  <c r="G15" i="3"/>
  <c r="F15" i="3"/>
  <c r="D15" i="3"/>
  <c r="C15" i="3"/>
  <c r="H14" i="3"/>
  <c r="I14" i="3" s="1"/>
  <c r="G14" i="3"/>
  <c r="F14" i="3"/>
  <c r="D14" i="3"/>
  <c r="C14" i="3"/>
  <c r="H13" i="3"/>
  <c r="I13" i="3" s="1"/>
  <c r="G13" i="3"/>
  <c r="F13" i="3"/>
  <c r="D13" i="3"/>
  <c r="C13" i="3"/>
  <c r="H12" i="3"/>
  <c r="I12" i="3" s="1"/>
  <c r="G12" i="3"/>
  <c r="F12" i="3"/>
  <c r="D12" i="3"/>
  <c r="C12" i="3"/>
  <c r="H11" i="3"/>
  <c r="I11" i="3" s="1"/>
  <c r="G11" i="3"/>
  <c r="F11" i="3"/>
  <c r="D11" i="3"/>
  <c r="C11" i="3"/>
  <c r="H10" i="3"/>
  <c r="I10" i="3" s="1"/>
  <c r="G10" i="3"/>
  <c r="F10" i="3"/>
  <c r="D10" i="3"/>
  <c r="C10" i="3"/>
  <c r="H9" i="3"/>
  <c r="I9" i="3" s="1"/>
  <c r="G9" i="3"/>
  <c r="F9" i="3"/>
  <c r="D9" i="3"/>
  <c r="C9" i="3"/>
  <c r="H8" i="3"/>
  <c r="I8" i="3" s="1"/>
  <c r="G8" i="3"/>
  <c r="F8" i="3"/>
  <c r="D8" i="3"/>
  <c r="C8" i="3"/>
  <c r="H7" i="3"/>
  <c r="I7" i="3" s="1"/>
  <c r="G7" i="3"/>
  <c r="F7" i="3"/>
  <c r="D7" i="3"/>
  <c r="C7" i="3"/>
  <c r="H6" i="3"/>
  <c r="I6" i="3" s="1"/>
  <c r="G6" i="3"/>
  <c r="F6" i="3"/>
  <c r="D6" i="3"/>
  <c r="C6" i="3"/>
  <c r="H5" i="3"/>
  <c r="I5" i="3" s="1"/>
  <c r="G5" i="3"/>
  <c r="F5" i="3"/>
  <c r="D5" i="3"/>
  <c r="C5" i="3"/>
  <c r="H4" i="3"/>
  <c r="I4" i="3" s="1"/>
  <c r="G4" i="3"/>
  <c r="F4" i="3"/>
  <c r="D4" i="3"/>
  <c r="C4" i="3"/>
  <c r="H3" i="3"/>
  <c r="I3" i="3" s="1"/>
  <c r="G3" i="3"/>
  <c r="F3" i="3"/>
  <c r="D3" i="3"/>
  <c r="C3" i="3"/>
  <c r="H2" i="3"/>
  <c r="I2" i="3" s="1"/>
  <c r="G2" i="3"/>
  <c r="F2" i="3"/>
  <c r="D2" i="3"/>
  <c r="C2" i="3"/>
  <c r="Q500" i="2"/>
  <c r="J500" i="2"/>
  <c r="I500" i="2"/>
  <c r="A500" i="2"/>
  <c r="Q499" i="2"/>
  <c r="J499" i="2"/>
  <c r="I499" i="2"/>
  <c r="A499" i="2"/>
  <c r="Q498" i="2"/>
  <c r="J498" i="2"/>
  <c r="I498" i="2"/>
  <c r="A498" i="2"/>
  <c r="Q497" i="2"/>
  <c r="J497" i="2"/>
  <c r="I497" i="2"/>
  <c r="A497" i="2"/>
  <c r="Q496" i="2"/>
  <c r="J496" i="2"/>
  <c r="I496" i="2"/>
  <c r="A496" i="2"/>
  <c r="Q495" i="2"/>
  <c r="J495" i="2"/>
  <c r="I495" i="2"/>
  <c r="A495" i="2"/>
  <c r="Q494" i="2"/>
  <c r="J494" i="2"/>
  <c r="I494" i="2"/>
  <c r="A494" i="2"/>
  <c r="Q493" i="2"/>
  <c r="J493" i="2"/>
  <c r="I493" i="2"/>
  <c r="A493" i="2"/>
  <c r="Q492" i="2"/>
  <c r="J492" i="2"/>
  <c r="I492" i="2"/>
  <c r="A492" i="2"/>
  <c r="Q491" i="2"/>
  <c r="J491" i="2"/>
  <c r="I491" i="2"/>
  <c r="A491" i="2"/>
  <c r="Q490" i="2"/>
  <c r="J490" i="2"/>
  <c r="I490" i="2"/>
  <c r="A490" i="2"/>
  <c r="Q489" i="2"/>
  <c r="J489" i="2"/>
  <c r="I489" i="2"/>
  <c r="A489" i="2"/>
  <c r="Q488" i="2"/>
  <c r="J488" i="2"/>
  <c r="I488" i="2"/>
  <c r="A488" i="2"/>
  <c r="Q487" i="2"/>
  <c r="J487" i="2"/>
  <c r="I487" i="2"/>
  <c r="A487" i="2"/>
  <c r="Q486" i="2"/>
  <c r="J486" i="2"/>
  <c r="I486" i="2"/>
  <c r="A486" i="2"/>
  <c r="Q485" i="2"/>
  <c r="J485" i="2"/>
  <c r="I485" i="2"/>
  <c r="A485" i="2"/>
  <c r="Q484" i="2"/>
  <c r="J484" i="2"/>
  <c r="I484" i="2"/>
  <c r="A484" i="2"/>
  <c r="Q483" i="2"/>
  <c r="J483" i="2"/>
  <c r="I483" i="2"/>
  <c r="A483" i="2"/>
  <c r="Q482" i="2"/>
  <c r="J482" i="2"/>
  <c r="I482" i="2"/>
  <c r="A482" i="2"/>
  <c r="Q481" i="2"/>
  <c r="J481" i="2"/>
  <c r="I481" i="2"/>
  <c r="A481" i="2"/>
  <c r="Q480" i="2"/>
  <c r="J480" i="2"/>
  <c r="I480" i="2"/>
  <c r="A480" i="2"/>
  <c r="Q479" i="2"/>
  <c r="J479" i="2"/>
  <c r="I479" i="2"/>
  <c r="A479" i="2"/>
  <c r="Q478" i="2"/>
  <c r="J478" i="2"/>
  <c r="I478" i="2"/>
  <c r="A478" i="2"/>
  <c r="Q477" i="2"/>
  <c r="J477" i="2"/>
  <c r="I477" i="2"/>
  <c r="A477" i="2"/>
  <c r="Q476" i="2"/>
  <c r="J476" i="2"/>
  <c r="I476" i="2"/>
  <c r="A476" i="2"/>
  <c r="Q475" i="2"/>
  <c r="J475" i="2"/>
  <c r="I475" i="2"/>
  <c r="A475" i="2"/>
  <c r="Q474" i="2"/>
  <c r="J474" i="2"/>
  <c r="I474" i="2"/>
  <c r="A474" i="2"/>
  <c r="Q473" i="2"/>
  <c r="J473" i="2"/>
  <c r="I473" i="2"/>
  <c r="A473" i="2"/>
  <c r="Q472" i="2"/>
  <c r="J472" i="2"/>
  <c r="I472" i="2"/>
  <c r="A472" i="2"/>
  <c r="Q471" i="2"/>
  <c r="J471" i="2"/>
  <c r="I471" i="2"/>
  <c r="A471" i="2"/>
  <c r="Q470" i="2"/>
  <c r="J470" i="2"/>
  <c r="I470" i="2"/>
  <c r="A470" i="2"/>
  <c r="Q469" i="2"/>
  <c r="J469" i="2"/>
  <c r="I469" i="2"/>
  <c r="A469" i="2"/>
  <c r="Q468" i="2"/>
  <c r="J468" i="2"/>
  <c r="I468" i="2"/>
  <c r="A468" i="2"/>
  <c r="Q467" i="2"/>
  <c r="J467" i="2"/>
  <c r="I467" i="2"/>
  <c r="A467" i="2"/>
  <c r="Q466" i="2"/>
  <c r="J466" i="2"/>
  <c r="I466" i="2"/>
  <c r="A466" i="2"/>
  <c r="Q465" i="2"/>
  <c r="J465" i="2"/>
  <c r="I465" i="2"/>
  <c r="A465" i="2"/>
  <c r="Q464" i="2"/>
  <c r="J464" i="2"/>
  <c r="I464" i="2"/>
  <c r="A464" i="2"/>
  <c r="Q463" i="2"/>
  <c r="J463" i="2"/>
  <c r="I463" i="2"/>
  <c r="A463" i="2"/>
  <c r="Q462" i="2"/>
  <c r="J462" i="2"/>
  <c r="I462" i="2"/>
  <c r="A462" i="2"/>
  <c r="Q461" i="2"/>
  <c r="J461" i="2"/>
  <c r="I461" i="2"/>
  <c r="A461" i="2"/>
  <c r="Q460" i="2"/>
  <c r="J460" i="2"/>
  <c r="I460" i="2"/>
  <c r="A460" i="2"/>
  <c r="Q459" i="2"/>
  <c r="J459" i="2"/>
  <c r="I459" i="2"/>
  <c r="A459" i="2"/>
  <c r="Q458" i="2"/>
  <c r="J458" i="2"/>
  <c r="I458" i="2"/>
  <c r="A458" i="2"/>
  <c r="Q457" i="2"/>
  <c r="J457" i="2"/>
  <c r="I457" i="2"/>
  <c r="A457" i="2"/>
  <c r="Q456" i="2"/>
  <c r="J456" i="2"/>
  <c r="I456" i="2"/>
  <c r="A456" i="2"/>
  <c r="Q455" i="2"/>
  <c r="J455" i="2"/>
  <c r="I455" i="2"/>
  <c r="A455" i="2"/>
  <c r="Q454" i="2"/>
  <c r="J454" i="2"/>
  <c r="I454" i="2"/>
  <c r="A454" i="2"/>
  <c r="Q453" i="2"/>
  <c r="J453" i="2"/>
  <c r="I453" i="2"/>
  <c r="A453" i="2"/>
  <c r="Q452" i="2"/>
  <c r="J452" i="2"/>
  <c r="I452" i="2"/>
  <c r="A452" i="2"/>
  <c r="Q451" i="2"/>
  <c r="J451" i="2"/>
  <c r="I451" i="2"/>
  <c r="A451" i="2"/>
  <c r="Q450" i="2"/>
  <c r="J450" i="2"/>
  <c r="I450" i="2"/>
  <c r="A450" i="2"/>
  <c r="Q449" i="2"/>
  <c r="J449" i="2"/>
  <c r="I449" i="2"/>
  <c r="A449" i="2"/>
  <c r="Q448" i="2"/>
  <c r="J448" i="2"/>
  <c r="I448" i="2"/>
  <c r="A448" i="2"/>
  <c r="Q447" i="2"/>
  <c r="J447" i="2"/>
  <c r="I447" i="2"/>
  <c r="A447" i="2"/>
  <c r="Q446" i="2"/>
  <c r="J446" i="2"/>
  <c r="I446" i="2"/>
  <c r="A446" i="2"/>
  <c r="Q445" i="2"/>
  <c r="J445" i="2"/>
  <c r="I445" i="2"/>
  <c r="A445" i="2"/>
  <c r="Q444" i="2"/>
  <c r="J444" i="2"/>
  <c r="I444" i="2"/>
  <c r="A444" i="2"/>
  <c r="Q443" i="2"/>
  <c r="J443" i="2"/>
  <c r="I443" i="2"/>
  <c r="A443" i="2"/>
  <c r="Q442" i="2"/>
  <c r="J442" i="2"/>
  <c r="I442" i="2"/>
  <c r="A442" i="2"/>
  <c r="Q441" i="2"/>
  <c r="J441" i="2"/>
  <c r="I441" i="2"/>
  <c r="A441" i="2"/>
  <c r="Q440" i="2"/>
  <c r="J440" i="2"/>
  <c r="I440" i="2"/>
  <c r="A440" i="2"/>
  <c r="Q439" i="2"/>
  <c r="J439" i="2"/>
  <c r="I439" i="2"/>
  <c r="A439" i="2"/>
  <c r="Q438" i="2"/>
  <c r="J438" i="2"/>
  <c r="I438" i="2"/>
  <c r="A438" i="2"/>
  <c r="Q437" i="2"/>
  <c r="J437" i="2"/>
  <c r="I437" i="2"/>
  <c r="A437" i="2"/>
  <c r="Q436" i="2"/>
  <c r="J436" i="2"/>
  <c r="I436" i="2"/>
  <c r="A436" i="2"/>
  <c r="Q435" i="2"/>
  <c r="J435" i="2"/>
  <c r="I435" i="2"/>
  <c r="A435" i="2"/>
  <c r="Q434" i="2"/>
  <c r="J434" i="2"/>
  <c r="I434" i="2"/>
  <c r="A434" i="2"/>
  <c r="Q433" i="2"/>
  <c r="J433" i="2"/>
  <c r="I433" i="2"/>
  <c r="A433" i="2"/>
  <c r="Q432" i="2"/>
  <c r="J432" i="2"/>
  <c r="I432" i="2"/>
  <c r="A432" i="2"/>
  <c r="Q431" i="2"/>
  <c r="J431" i="2"/>
  <c r="I431" i="2"/>
  <c r="A431" i="2"/>
  <c r="Q430" i="2"/>
  <c r="J430" i="2"/>
  <c r="I430" i="2"/>
  <c r="A430" i="2"/>
  <c r="Q429" i="2"/>
  <c r="J429" i="2"/>
  <c r="I429" i="2"/>
  <c r="A429" i="2"/>
  <c r="Q428" i="2"/>
  <c r="J428" i="2"/>
  <c r="I428" i="2"/>
  <c r="A428" i="2"/>
  <c r="Q427" i="2"/>
  <c r="J427" i="2"/>
  <c r="I427" i="2"/>
  <c r="A427" i="2"/>
  <c r="Q426" i="2"/>
  <c r="J426" i="2"/>
  <c r="I426" i="2"/>
  <c r="A426" i="2"/>
  <c r="Q425" i="2"/>
  <c r="J425" i="2"/>
  <c r="I425" i="2"/>
  <c r="A425" i="2"/>
  <c r="Q424" i="2"/>
  <c r="J424" i="2"/>
  <c r="I424" i="2"/>
  <c r="A424" i="2"/>
  <c r="Q423" i="2"/>
  <c r="J423" i="2"/>
  <c r="I423" i="2"/>
  <c r="A423" i="2"/>
  <c r="Q422" i="2"/>
  <c r="J422" i="2"/>
  <c r="I422" i="2"/>
  <c r="A422" i="2"/>
  <c r="Q421" i="2"/>
  <c r="J421" i="2"/>
  <c r="I421" i="2"/>
  <c r="A421" i="2"/>
  <c r="Q420" i="2"/>
  <c r="J420" i="2"/>
  <c r="I420" i="2"/>
  <c r="A420" i="2"/>
  <c r="Q419" i="2"/>
  <c r="J419" i="2"/>
  <c r="I419" i="2"/>
  <c r="A419" i="2"/>
  <c r="Q418" i="2"/>
  <c r="J418" i="2"/>
  <c r="I418" i="2"/>
  <c r="A418" i="2"/>
  <c r="Q417" i="2"/>
  <c r="J417" i="2"/>
  <c r="I417" i="2"/>
  <c r="A417" i="2"/>
  <c r="Q416" i="2"/>
  <c r="J416" i="2"/>
  <c r="I416" i="2"/>
  <c r="A416" i="2"/>
  <c r="Q415" i="2"/>
  <c r="J415" i="2"/>
  <c r="I415" i="2"/>
  <c r="A415" i="2"/>
  <c r="Q414" i="2"/>
  <c r="J414" i="2"/>
  <c r="I414" i="2"/>
  <c r="A414" i="2"/>
  <c r="Q413" i="2"/>
  <c r="J413" i="2"/>
  <c r="I413" i="2"/>
  <c r="A413" i="2"/>
  <c r="Q412" i="2"/>
  <c r="J412" i="2"/>
  <c r="I412" i="2"/>
  <c r="A412" i="2"/>
  <c r="Q411" i="2"/>
  <c r="J411" i="2"/>
  <c r="I411" i="2"/>
  <c r="A411" i="2"/>
  <c r="Q410" i="2"/>
  <c r="J410" i="2"/>
  <c r="I410" i="2"/>
  <c r="A410" i="2"/>
  <c r="Q409" i="2"/>
  <c r="J409" i="2"/>
  <c r="I409" i="2"/>
  <c r="A409" i="2"/>
  <c r="Q408" i="2"/>
  <c r="J408" i="2"/>
  <c r="I408" i="2"/>
  <c r="A408" i="2"/>
  <c r="Q407" i="2"/>
  <c r="J407" i="2"/>
  <c r="I407" i="2"/>
  <c r="A407" i="2"/>
  <c r="Q406" i="2"/>
  <c r="J406" i="2"/>
  <c r="I406" i="2"/>
  <c r="A406" i="2"/>
  <c r="Q405" i="2"/>
  <c r="J405" i="2"/>
  <c r="I405" i="2"/>
  <c r="A405" i="2"/>
  <c r="Q404" i="2"/>
  <c r="J404" i="2"/>
  <c r="I404" i="2"/>
  <c r="A404" i="2"/>
  <c r="Q403" i="2"/>
  <c r="J403" i="2"/>
  <c r="I403" i="2"/>
  <c r="A403" i="2"/>
  <c r="Q402" i="2"/>
  <c r="J402" i="2"/>
  <c r="I402" i="2"/>
  <c r="A402" i="2"/>
  <c r="Q401" i="2"/>
  <c r="J401" i="2"/>
  <c r="I401" i="2"/>
  <c r="A401" i="2"/>
  <c r="Q400" i="2"/>
  <c r="J400" i="2"/>
  <c r="I400" i="2"/>
  <c r="A400" i="2"/>
  <c r="Q399" i="2"/>
  <c r="J399" i="2"/>
  <c r="I399" i="2"/>
  <c r="A399" i="2"/>
  <c r="Q398" i="2"/>
  <c r="J398" i="2"/>
  <c r="I398" i="2"/>
  <c r="A398" i="2"/>
  <c r="Q397" i="2"/>
  <c r="J397" i="2"/>
  <c r="I397" i="2"/>
  <c r="A397" i="2"/>
  <c r="Q396" i="2"/>
  <c r="J396" i="2"/>
  <c r="I396" i="2"/>
  <c r="A396" i="2"/>
  <c r="Q395" i="2"/>
  <c r="J395" i="2"/>
  <c r="I395" i="2"/>
  <c r="A395" i="2"/>
  <c r="Q394" i="2"/>
  <c r="J394" i="2"/>
  <c r="I394" i="2"/>
  <c r="A394" i="2"/>
  <c r="Q393" i="2"/>
  <c r="J393" i="2"/>
  <c r="I393" i="2"/>
  <c r="A393" i="2"/>
  <c r="Q392" i="2"/>
  <c r="J392" i="2"/>
  <c r="I392" i="2"/>
  <c r="A392" i="2"/>
  <c r="Q391" i="2"/>
  <c r="J391" i="2"/>
  <c r="I391" i="2"/>
  <c r="A391" i="2"/>
  <c r="Q390" i="2"/>
  <c r="J390" i="2"/>
  <c r="I390" i="2"/>
  <c r="A390" i="2"/>
  <c r="Q389" i="2"/>
  <c r="J389" i="2"/>
  <c r="I389" i="2"/>
  <c r="A389" i="2"/>
  <c r="Q388" i="2"/>
  <c r="J388" i="2"/>
  <c r="I388" i="2"/>
  <c r="A388" i="2"/>
  <c r="Q387" i="2"/>
  <c r="J387" i="2"/>
  <c r="I387" i="2"/>
  <c r="A387" i="2"/>
  <c r="Q386" i="2"/>
  <c r="J386" i="2"/>
  <c r="I386" i="2"/>
  <c r="A386" i="2"/>
  <c r="Q385" i="2"/>
  <c r="J385" i="2"/>
  <c r="I385" i="2"/>
  <c r="A385" i="2"/>
  <c r="Q384" i="2"/>
  <c r="J384" i="2"/>
  <c r="I384" i="2"/>
  <c r="A384" i="2"/>
  <c r="Q383" i="2"/>
  <c r="J383" i="2"/>
  <c r="I383" i="2"/>
  <c r="A383" i="2"/>
  <c r="Q382" i="2"/>
  <c r="J382" i="2"/>
  <c r="I382" i="2"/>
  <c r="A382" i="2"/>
  <c r="Q381" i="2"/>
  <c r="J381" i="2"/>
  <c r="I381" i="2"/>
  <c r="A381" i="2"/>
  <c r="Q380" i="2"/>
  <c r="J380" i="2"/>
  <c r="I380" i="2"/>
  <c r="A380" i="2"/>
  <c r="Q379" i="2"/>
  <c r="J379" i="2"/>
  <c r="I379" i="2"/>
  <c r="A379" i="2"/>
  <c r="Q378" i="2"/>
  <c r="J378" i="2"/>
  <c r="I378" i="2"/>
  <c r="A378" i="2"/>
  <c r="Q377" i="2"/>
  <c r="J377" i="2"/>
  <c r="I377" i="2"/>
  <c r="A377" i="2"/>
  <c r="Q376" i="2"/>
  <c r="J376" i="2"/>
  <c r="I376" i="2"/>
  <c r="A376" i="2"/>
  <c r="Q375" i="2"/>
  <c r="J375" i="2"/>
  <c r="I375" i="2"/>
  <c r="A375" i="2"/>
  <c r="Q374" i="2"/>
  <c r="J374" i="2"/>
  <c r="I374" i="2"/>
  <c r="A374" i="2"/>
  <c r="Q373" i="2"/>
  <c r="J373" i="2"/>
  <c r="I373" i="2"/>
  <c r="A373" i="2"/>
  <c r="Q372" i="2"/>
  <c r="J372" i="2"/>
  <c r="I372" i="2"/>
  <c r="A372" i="2"/>
  <c r="Q371" i="2"/>
  <c r="J371" i="2"/>
  <c r="I371" i="2"/>
  <c r="A371" i="2"/>
  <c r="Q370" i="2"/>
  <c r="J370" i="2"/>
  <c r="I370" i="2"/>
  <c r="A370" i="2"/>
  <c r="Q369" i="2"/>
  <c r="J369" i="2"/>
  <c r="I369" i="2"/>
  <c r="A369" i="2"/>
  <c r="Q368" i="2"/>
  <c r="J368" i="2"/>
  <c r="I368" i="2"/>
  <c r="A368" i="2"/>
  <c r="Q367" i="2"/>
  <c r="J367" i="2"/>
  <c r="I367" i="2"/>
  <c r="A367" i="2"/>
  <c r="Q366" i="2"/>
  <c r="J366" i="2"/>
  <c r="I366" i="2"/>
  <c r="A366" i="2"/>
  <c r="Q365" i="2"/>
  <c r="J365" i="2"/>
  <c r="I365" i="2"/>
  <c r="A365" i="2"/>
  <c r="Q364" i="2"/>
  <c r="J364" i="2"/>
  <c r="I364" i="2"/>
  <c r="A364" i="2"/>
  <c r="Q363" i="2"/>
  <c r="J363" i="2"/>
  <c r="I363" i="2"/>
  <c r="A363" i="2"/>
  <c r="Q362" i="2"/>
  <c r="J362" i="2"/>
  <c r="I362" i="2"/>
  <c r="A362" i="2"/>
  <c r="Q361" i="2"/>
  <c r="J361" i="2"/>
  <c r="I361" i="2"/>
  <c r="A361" i="2"/>
  <c r="Q360" i="2"/>
  <c r="J360" i="2"/>
  <c r="I360" i="2"/>
  <c r="A360" i="2"/>
  <c r="Q359" i="2"/>
  <c r="J359" i="2"/>
  <c r="I359" i="2"/>
  <c r="A359" i="2"/>
  <c r="Q358" i="2"/>
  <c r="J358" i="2"/>
  <c r="I358" i="2"/>
  <c r="A358" i="2"/>
  <c r="Q357" i="2"/>
  <c r="J357" i="2"/>
  <c r="I357" i="2"/>
  <c r="A357" i="2"/>
  <c r="Q356" i="2"/>
  <c r="J356" i="2"/>
  <c r="I356" i="2"/>
  <c r="A356" i="2"/>
  <c r="Q355" i="2"/>
  <c r="J355" i="2"/>
  <c r="I355" i="2"/>
  <c r="A355" i="2"/>
  <c r="Q354" i="2"/>
  <c r="J354" i="2"/>
  <c r="I354" i="2"/>
  <c r="A354" i="2"/>
  <c r="Q353" i="2"/>
  <c r="J353" i="2"/>
  <c r="I353" i="2"/>
  <c r="A353" i="2"/>
  <c r="Q352" i="2"/>
  <c r="J352" i="2"/>
  <c r="I352" i="2"/>
  <c r="A352" i="2"/>
  <c r="Q351" i="2"/>
  <c r="J351" i="2"/>
  <c r="I351" i="2"/>
  <c r="A351" i="2"/>
  <c r="Q350" i="2"/>
  <c r="J350" i="2"/>
  <c r="I350" i="2"/>
  <c r="A350" i="2"/>
  <c r="Q349" i="2"/>
  <c r="J349" i="2"/>
  <c r="I349" i="2"/>
  <c r="A349" i="2"/>
  <c r="Q348" i="2"/>
  <c r="J348" i="2"/>
  <c r="I348" i="2"/>
  <c r="A348" i="2"/>
  <c r="Q347" i="2"/>
  <c r="J347" i="2"/>
  <c r="I347" i="2"/>
  <c r="A347" i="2"/>
  <c r="Q346" i="2"/>
  <c r="J346" i="2"/>
  <c r="I346" i="2"/>
  <c r="A346" i="2"/>
  <c r="Q345" i="2"/>
  <c r="J345" i="2"/>
  <c r="I345" i="2"/>
  <c r="A345" i="2"/>
  <c r="Q344" i="2"/>
  <c r="J344" i="2"/>
  <c r="I344" i="2"/>
  <c r="A344" i="2"/>
  <c r="Q343" i="2"/>
  <c r="J343" i="2"/>
  <c r="I343" i="2"/>
  <c r="A343" i="2"/>
  <c r="Q342" i="2"/>
  <c r="J342" i="2"/>
  <c r="I342" i="2"/>
  <c r="A342" i="2"/>
  <c r="Q341" i="2"/>
  <c r="J341" i="2"/>
  <c r="I341" i="2"/>
  <c r="A341" i="2"/>
  <c r="Q340" i="2"/>
  <c r="J340" i="2"/>
  <c r="I340" i="2"/>
  <c r="A340" i="2"/>
  <c r="Q339" i="2"/>
  <c r="J339" i="2"/>
  <c r="I339" i="2"/>
  <c r="A339" i="2"/>
  <c r="Q338" i="2"/>
  <c r="J338" i="2"/>
  <c r="I338" i="2"/>
  <c r="A338" i="2"/>
  <c r="Q337" i="2"/>
  <c r="J337" i="2"/>
  <c r="I337" i="2"/>
  <c r="A337" i="2"/>
  <c r="Q336" i="2"/>
  <c r="J336" i="2"/>
  <c r="I336" i="2"/>
  <c r="A336" i="2"/>
  <c r="Q335" i="2"/>
  <c r="J335" i="2"/>
  <c r="I335" i="2"/>
  <c r="A335" i="2"/>
  <c r="Q334" i="2"/>
  <c r="J334" i="2"/>
  <c r="I334" i="2"/>
  <c r="A334" i="2"/>
  <c r="Q333" i="2"/>
  <c r="J333" i="2"/>
  <c r="I333" i="2"/>
  <c r="A333" i="2"/>
  <c r="Q332" i="2"/>
  <c r="J332" i="2"/>
  <c r="I332" i="2"/>
  <c r="A332" i="2"/>
  <c r="Q331" i="2"/>
  <c r="J331" i="2"/>
  <c r="I331" i="2"/>
  <c r="A331" i="2"/>
  <c r="Q330" i="2"/>
  <c r="J330" i="2"/>
  <c r="I330" i="2"/>
  <c r="A330" i="2"/>
  <c r="Q329" i="2"/>
  <c r="J329" i="2"/>
  <c r="I329" i="2"/>
  <c r="A329" i="2"/>
  <c r="Q328" i="2"/>
  <c r="J328" i="2"/>
  <c r="I328" i="2"/>
  <c r="A328" i="2"/>
  <c r="Q327" i="2"/>
  <c r="J327" i="2"/>
  <c r="I327" i="2"/>
  <c r="A327" i="2"/>
  <c r="Q326" i="2"/>
  <c r="J326" i="2"/>
  <c r="I326" i="2"/>
  <c r="A326" i="2"/>
  <c r="Q325" i="2"/>
  <c r="J325" i="2"/>
  <c r="I325" i="2"/>
  <c r="A325" i="2"/>
  <c r="Q324" i="2"/>
  <c r="J324" i="2"/>
  <c r="I324" i="2"/>
  <c r="A324" i="2"/>
  <c r="Q323" i="2"/>
  <c r="J323" i="2"/>
  <c r="I323" i="2"/>
  <c r="A323" i="2"/>
  <c r="Q322" i="2"/>
  <c r="J322" i="2"/>
  <c r="I322" i="2"/>
  <c r="A322" i="2"/>
  <c r="Q321" i="2"/>
  <c r="J321" i="2"/>
  <c r="I321" i="2"/>
  <c r="A321" i="2"/>
  <c r="Q320" i="2"/>
  <c r="J320" i="2"/>
  <c r="I320" i="2"/>
  <c r="A320" i="2"/>
  <c r="Q319" i="2"/>
  <c r="J319" i="2"/>
  <c r="I319" i="2"/>
  <c r="A319" i="2"/>
  <c r="Q318" i="2"/>
  <c r="J318" i="2"/>
  <c r="I318" i="2"/>
  <c r="A318" i="2"/>
  <c r="Q317" i="2"/>
  <c r="J317" i="2"/>
  <c r="I317" i="2"/>
  <c r="A317" i="2"/>
  <c r="Q316" i="2"/>
  <c r="J316" i="2"/>
  <c r="I316" i="2"/>
  <c r="A316" i="2"/>
  <c r="Q315" i="2"/>
  <c r="J315" i="2"/>
  <c r="I315" i="2"/>
  <c r="A315" i="2"/>
  <c r="Q314" i="2"/>
  <c r="J314" i="2"/>
  <c r="I314" i="2"/>
  <c r="A314" i="2"/>
  <c r="Q313" i="2"/>
  <c r="J313" i="2"/>
  <c r="I313" i="2"/>
  <c r="A313" i="2"/>
  <c r="Q312" i="2"/>
  <c r="J312" i="2"/>
  <c r="I312" i="2"/>
  <c r="A312" i="2"/>
  <c r="Q311" i="2"/>
  <c r="J311" i="2"/>
  <c r="I311" i="2"/>
  <c r="A311" i="2"/>
  <c r="Q310" i="2"/>
  <c r="J310" i="2"/>
  <c r="I310" i="2"/>
  <c r="A310" i="2"/>
  <c r="Q309" i="2"/>
  <c r="J309" i="2"/>
  <c r="I309" i="2"/>
  <c r="A309" i="2"/>
  <c r="Q308" i="2"/>
  <c r="J308" i="2"/>
  <c r="I308" i="2"/>
  <c r="A308" i="2"/>
  <c r="Q307" i="2"/>
  <c r="J307" i="2"/>
  <c r="I307" i="2"/>
  <c r="A307" i="2"/>
  <c r="Q306" i="2"/>
  <c r="J306" i="2"/>
  <c r="I306" i="2"/>
  <c r="A306" i="2"/>
  <c r="Q305" i="2"/>
  <c r="J305" i="2"/>
  <c r="I305" i="2"/>
  <c r="A305" i="2"/>
  <c r="Q304" i="2"/>
  <c r="J304" i="2"/>
  <c r="I304" i="2"/>
  <c r="A304" i="2"/>
  <c r="Q303" i="2"/>
  <c r="J303" i="2"/>
  <c r="I303" i="2"/>
  <c r="A303" i="2"/>
  <c r="Q302" i="2"/>
  <c r="J302" i="2"/>
  <c r="I302" i="2"/>
  <c r="A302" i="2"/>
  <c r="Q301" i="2"/>
  <c r="J301" i="2"/>
  <c r="I301" i="2"/>
  <c r="A301" i="2"/>
  <c r="Q300" i="2"/>
  <c r="J300" i="2"/>
  <c r="I300" i="2"/>
  <c r="A300" i="2"/>
  <c r="Q299" i="2"/>
  <c r="J299" i="2"/>
  <c r="I299" i="2"/>
  <c r="A299" i="2"/>
  <c r="Q298" i="2"/>
  <c r="J298" i="2"/>
  <c r="I298" i="2"/>
  <c r="A298" i="2"/>
  <c r="Q297" i="2"/>
  <c r="J297" i="2"/>
  <c r="I297" i="2"/>
  <c r="A297" i="2"/>
  <c r="Q296" i="2"/>
  <c r="J296" i="2"/>
  <c r="I296" i="2"/>
  <c r="A296" i="2"/>
  <c r="Q295" i="2"/>
  <c r="J295" i="2"/>
  <c r="I295" i="2"/>
  <c r="A295" i="2"/>
  <c r="Q294" i="2"/>
  <c r="J294" i="2"/>
  <c r="I294" i="2"/>
  <c r="A294" i="2"/>
  <c r="Q293" i="2"/>
  <c r="J293" i="2"/>
  <c r="I293" i="2"/>
  <c r="A293" i="2"/>
  <c r="Q292" i="2"/>
  <c r="J292" i="2"/>
  <c r="I292" i="2"/>
  <c r="A292" i="2"/>
  <c r="Q291" i="2"/>
  <c r="J291" i="2"/>
  <c r="I291" i="2"/>
  <c r="A291" i="2"/>
  <c r="Q290" i="2"/>
  <c r="J290" i="2"/>
  <c r="I290" i="2"/>
  <c r="A290" i="2"/>
  <c r="Q289" i="2"/>
  <c r="J289" i="2"/>
  <c r="I289" i="2"/>
  <c r="A289" i="2"/>
  <c r="Q288" i="2"/>
  <c r="J288" i="2"/>
  <c r="I288" i="2"/>
  <c r="A288" i="2"/>
  <c r="Q287" i="2"/>
  <c r="J287" i="2"/>
  <c r="I287" i="2"/>
  <c r="A287" i="2"/>
  <c r="Q286" i="2"/>
  <c r="J286" i="2"/>
  <c r="I286" i="2"/>
  <c r="A286" i="2"/>
  <c r="Q285" i="2"/>
  <c r="J285" i="2"/>
  <c r="I285" i="2"/>
  <c r="A285" i="2"/>
  <c r="Q284" i="2"/>
  <c r="J284" i="2"/>
  <c r="I284" i="2"/>
  <c r="A284" i="2"/>
  <c r="Q283" i="2"/>
  <c r="J283" i="2"/>
  <c r="I283" i="2"/>
  <c r="A283" i="2"/>
  <c r="Q282" i="2"/>
  <c r="J282" i="2"/>
  <c r="I282" i="2"/>
  <c r="A282" i="2"/>
  <c r="Q281" i="2"/>
  <c r="J281" i="2"/>
  <c r="I281" i="2"/>
  <c r="A281" i="2"/>
  <c r="Q280" i="2"/>
  <c r="J280" i="2"/>
  <c r="I280" i="2"/>
  <c r="A280" i="2"/>
  <c r="Q279" i="2"/>
  <c r="J279" i="2"/>
  <c r="I279" i="2"/>
  <c r="A279" i="2"/>
  <c r="Q278" i="2"/>
  <c r="J278" i="2"/>
  <c r="I278" i="2"/>
  <c r="A278" i="2"/>
  <c r="Q277" i="2"/>
  <c r="J277" i="2"/>
  <c r="I277" i="2"/>
  <c r="A277" i="2"/>
  <c r="Q276" i="2"/>
  <c r="J276" i="2"/>
  <c r="I276" i="2"/>
  <c r="A276" i="2"/>
  <c r="Q275" i="2"/>
  <c r="J275" i="2"/>
  <c r="I275" i="2"/>
  <c r="A275" i="2"/>
  <c r="Q274" i="2"/>
  <c r="J274" i="2"/>
  <c r="I274" i="2"/>
  <c r="A274" i="2"/>
  <c r="Q273" i="2"/>
  <c r="J273" i="2"/>
  <c r="I273" i="2"/>
  <c r="A273" i="2"/>
  <c r="Q272" i="2"/>
  <c r="J272" i="2"/>
  <c r="I272" i="2"/>
  <c r="A272" i="2"/>
  <c r="Q271" i="2"/>
  <c r="J271" i="2"/>
  <c r="I271" i="2"/>
  <c r="A271" i="2"/>
  <c r="Q270" i="2"/>
  <c r="J270" i="2"/>
  <c r="I270" i="2"/>
  <c r="A270" i="2"/>
  <c r="Q269" i="2"/>
  <c r="J269" i="2"/>
  <c r="I269" i="2"/>
  <c r="A269" i="2"/>
  <c r="Q268" i="2"/>
  <c r="J268" i="2"/>
  <c r="I268" i="2"/>
  <c r="A268" i="2"/>
  <c r="Q267" i="2"/>
  <c r="J267" i="2"/>
  <c r="I267" i="2"/>
  <c r="A267" i="2"/>
  <c r="Q266" i="2"/>
  <c r="J266" i="2"/>
  <c r="I266" i="2"/>
  <c r="A266" i="2"/>
  <c r="Q265" i="2"/>
  <c r="J265" i="2"/>
  <c r="I265" i="2"/>
  <c r="A265" i="2"/>
  <c r="Q264" i="2"/>
  <c r="J264" i="2"/>
  <c r="I264" i="2"/>
  <c r="A264" i="2"/>
  <c r="Q263" i="2"/>
  <c r="J263" i="2"/>
  <c r="I263" i="2"/>
  <c r="A263" i="2"/>
  <c r="Q262" i="2"/>
  <c r="J262" i="2"/>
  <c r="I262" i="2"/>
  <c r="A262" i="2"/>
  <c r="Q261" i="2"/>
  <c r="J261" i="2"/>
  <c r="I261" i="2"/>
  <c r="A261" i="2"/>
  <c r="Q260" i="2"/>
  <c r="J260" i="2"/>
  <c r="I260" i="2"/>
  <c r="A260" i="2"/>
  <c r="Q259" i="2"/>
  <c r="J259" i="2"/>
  <c r="I259" i="2"/>
  <c r="A259" i="2"/>
  <c r="Q258" i="2"/>
  <c r="J258" i="2"/>
  <c r="I258" i="2"/>
  <c r="A258" i="2"/>
  <c r="Q257" i="2"/>
  <c r="J257" i="2"/>
  <c r="I257" i="2"/>
  <c r="A257" i="2"/>
  <c r="Q256" i="2"/>
  <c r="J256" i="2"/>
  <c r="I256" i="2"/>
  <c r="A256" i="2"/>
  <c r="Q255" i="2"/>
  <c r="J255" i="2"/>
  <c r="I255" i="2"/>
  <c r="A255" i="2"/>
  <c r="Q254" i="2"/>
  <c r="J254" i="2"/>
  <c r="I254" i="2"/>
  <c r="A254" i="2"/>
  <c r="Q253" i="2"/>
  <c r="J253" i="2"/>
  <c r="I253" i="2"/>
  <c r="A253" i="2"/>
  <c r="Q252" i="2"/>
  <c r="J252" i="2"/>
  <c r="I252" i="2"/>
  <c r="A252" i="2"/>
  <c r="Q251" i="2"/>
  <c r="J251" i="2"/>
  <c r="I251" i="2"/>
  <c r="A251" i="2"/>
  <c r="Q250" i="2"/>
  <c r="J250" i="2"/>
  <c r="I250" i="2"/>
  <c r="A250" i="2"/>
  <c r="Q249" i="2"/>
  <c r="J249" i="2"/>
  <c r="I249" i="2"/>
  <c r="A249" i="2"/>
  <c r="Q248" i="2"/>
  <c r="J248" i="2"/>
  <c r="I248" i="2"/>
  <c r="A248" i="2"/>
  <c r="Q247" i="2"/>
  <c r="J247" i="2"/>
  <c r="I247" i="2"/>
  <c r="A247" i="2"/>
  <c r="Q246" i="2"/>
  <c r="J246" i="2"/>
  <c r="I246" i="2"/>
  <c r="A246" i="2"/>
  <c r="Q245" i="2"/>
  <c r="J245" i="2"/>
  <c r="I245" i="2"/>
  <c r="A245" i="2"/>
  <c r="Q244" i="2"/>
  <c r="J244" i="2"/>
  <c r="I244" i="2"/>
  <c r="A244" i="2"/>
  <c r="Q243" i="2"/>
  <c r="J243" i="2"/>
  <c r="I243" i="2"/>
  <c r="A243" i="2"/>
  <c r="Q242" i="2"/>
  <c r="J242" i="2"/>
  <c r="I242" i="2"/>
  <c r="A242" i="2"/>
  <c r="Q241" i="2"/>
  <c r="J241" i="2"/>
  <c r="I241" i="2"/>
  <c r="A241" i="2"/>
  <c r="Q240" i="2"/>
  <c r="J240" i="2"/>
  <c r="I240" i="2"/>
  <c r="A240" i="2"/>
  <c r="Q239" i="2"/>
  <c r="J239" i="2"/>
  <c r="I239" i="2"/>
  <c r="A239" i="2"/>
  <c r="Q238" i="2"/>
  <c r="J238" i="2"/>
  <c r="I238" i="2"/>
  <c r="A238" i="2"/>
  <c r="Q237" i="2"/>
  <c r="J237" i="2"/>
  <c r="I237" i="2"/>
  <c r="A237" i="2"/>
  <c r="Q236" i="2"/>
  <c r="J236" i="2"/>
  <c r="I236" i="2"/>
  <c r="A236" i="2"/>
  <c r="Q235" i="2"/>
  <c r="J235" i="2"/>
  <c r="I235" i="2"/>
  <c r="A235" i="2"/>
  <c r="Q234" i="2"/>
  <c r="J234" i="2"/>
  <c r="I234" i="2"/>
  <c r="A234" i="2"/>
  <c r="Q233" i="2"/>
  <c r="J233" i="2"/>
  <c r="I233" i="2"/>
  <c r="A233" i="2"/>
  <c r="Q232" i="2"/>
  <c r="J232" i="2"/>
  <c r="I232" i="2"/>
  <c r="A232" i="2"/>
  <c r="Q231" i="2"/>
  <c r="J231" i="2"/>
  <c r="I231" i="2"/>
  <c r="A231" i="2"/>
  <c r="Q230" i="2"/>
  <c r="J230" i="2"/>
  <c r="I230" i="2"/>
  <c r="A230" i="2"/>
  <c r="Q229" i="2"/>
  <c r="J229" i="2"/>
  <c r="I229" i="2"/>
  <c r="A229" i="2"/>
  <c r="Q228" i="2"/>
  <c r="J228" i="2"/>
  <c r="I228" i="2"/>
  <c r="A228" i="2"/>
  <c r="Q227" i="2"/>
  <c r="J227" i="2"/>
  <c r="I227" i="2"/>
  <c r="A227" i="2"/>
  <c r="Q226" i="2"/>
  <c r="J226" i="2"/>
  <c r="I226" i="2"/>
  <c r="A226" i="2"/>
  <c r="Q225" i="2"/>
  <c r="J225" i="2"/>
  <c r="I225" i="2"/>
  <c r="A225" i="2"/>
  <c r="Q224" i="2"/>
  <c r="J224" i="2"/>
  <c r="I224" i="2"/>
  <c r="A224" i="2"/>
  <c r="Q223" i="2"/>
  <c r="J223" i="2"/>
  <c r="I223" i="2"/>
  <c r="A223" i="2"/>
  <c r="Q222" i="2"/>
  <c r="J222" i="2"/>
  <c r="I222" i="2"/>
  <c r="A222" i="2"/>
  <c r="Q221" i="2"/>
  <c r="J221" i="2"/>
  <c r="I221" i="2"/>
  <c r="A221" i="2"/>
  <c r="Q220" i="2"/>
  <c r="J220" i="2"/>
  <c r="I220" i="2"/>
  <c r="A220" i="2"/>
  <c r="Q219" i="2"/>
  <c r="J219" i="2"/>
  <c r="I219" i="2"/>
  <c r="A219" i="2"/>
  <c r="Q218" i="2"/>
  <c r="J218" i="2"/>
  <c r="I218" i="2"/>
  <c r="A218" i="2"/>
  <c r="Q217" i="2"/>
  <c r="J217" i="2"/>
  <c r="I217" i="2"/>
  <c r="A217" i="2"/>
  <c r="Q216" i="2"/>
  <c r="J216" i="2"/>
  <c r="I216" i="2"/>
  <c r="A216" i="2"/>
  <c r="Q215" i="2"/>
  <c r="J215" i="2"/>
  <c r="I215" i="2"/>
  <c r="A215" i="2"/>
  <c r="Q214" i="2"/>
  <c r="J214" i="2"/>
  <c r="I214" i="2"/>
  <c r="A214" i="2"/>
  <c r="Q213" i="2"/>
  <c r="J213" i="2"/>
  <c r="I213" i="2"/>
  <c r="A213" i="2"/>
  <c r="Q212" i="2"/>
  <c r="J212" i="2"/>
  <c r="I212" i="2"/>
  <c r="A212" i="2"/>
  <c r="Q211" i="2"/>
  <c r="J211" i="2"/>
  <c r="I211" i="2"/>
  <c r="A211" i="2"/>
  <c r="Q210" i="2"/>
  <c r="J210" i="2"/>
  <c r="I210" i="2"/>
  <c r="A210" i="2"/>
  <c r="Q209" i="2"/>
  <c r="J209" i="2"/>
  <c r="I209" i="2"/>
  <c r="A209" i="2"/>
  <c r="Q208" i="2"/>
  <c r="J208" i="2"/>
  <c r="I208" i="2"/>
  <c r="A208" i="2"/>
  <c r="Q207" i="2"/>
  <c r="J207" i="2"/>
  <c r="I207" i="2"/>
  <c r="A207" i="2"/>
  <c r="Q206" i="2"/>
  <c r="J206" i="2"/>
  <c r="I206" i="2"/>
  <c r="A206" i="2"/>
  <c r="Q205" i="2"/>
  <c r="J205" i="2"/>
  <c r="I205" i="2"/>
  <c r="A205" i="2"/>
  <c r="Q204" i="2"/>
  <c r="J204" i="2"/>
  <c r="I204" i="2"/>
  <c r="A204" i="2"/>
  <c r="Q203" i="2"/>
  <c r="J203" i="2"/>
  <c r="I203" i="2"/>
  <c r="A203" i="2"/>
  <c r="Q202" i="2"/>
  <c r="J202" i="2"/>
  <c r="I202" i="2"/>
  <c r="A202" i="2"/>
  <c r="Q201" i="2"/>
  <c r="J201" i="2"/>
  <c r="I201" i="2"/>
  <c r="A201" i="2"/>
  <c r="Q200" i="2"/>
  <c r="J200" i="2"/>
  <c r="I200" i="2"/>
  <c r="A200" i="2"/>
  <c r="Q199" i="2"/>
  <c r="J199" i="2"/>
  <c r="I199" i="2"/>
  <c r="A199" i="2"/>
  <c r="Q198" i="2"/>
  <c r="J198" i="2"/>
  <c r="I198" i="2"/>
  <c r="A198" i="2"/>
  <c r="Q197" i="2"/>
  <c r="J197" i="2"/>
  <c r="I197" i="2"/>
  <c r="A197" i="2"/>
  <c r="Q196" i="2"/>
  <c r="J196" i="2"/>
  <c r="I196" i="2"/>
  <c r="A196" i="2"/>
  <c r="Q195" i="2"/>
  <c r="J195" i="2"/>
  <c r="I195" i="2"/>
  <c r="A195" i="2"/>
  <c r="Q194" i="2"/>
  <c r="J194" i="2"/>
  <c r="I194" i="2"/>
  <c r="A194" i="2"/>
  <c r="Q193" i="2"/>
  <c r="J193" i="2"/>
  <c r="I193" i="2"/>
  <c r="A193" i="2"/>
  <c r="Q192" i="2"/>
  <c r="J192" i="2"/>
  <c r="I192" i="2"/>
  <c r="A192" i="2"/>
  <c r="Q191" i="2"/>
  <c r="J191" i="2"/>
  <c r="I191" i="2"/>
  <c r="A191" i="2"/>
  <c r="Q190" i="2"/>
  <c r="J190" i="2"/>
  <c r="I190" i="2"/>
  <c r="A190" i="2"/>
  <c r="Q189" i="2"/>
  <c r="J189" i="2"/>
  <c r="I189" i="2"/>
  <c r="A189" i="2"/>
  <c r="Q188" i="2"/>
  <c r="J188" i="2"/>
  <c r="I188" i="2"/>
  <c r="A188" i="2"/>
  <c r="Q187" i="2"/>
  <c r="J187" i="2"/>
  <c r="I187" i="2"/>
  <c r="A187" i="2"/>
  <c r="Q186" i="2"/>
  <c r="J186" i="2"/>
  <c r="I186" i="2"/>
  <c r="A186" i="2"/>
  <c r="Q185" i="2"/>
  <c r="J185" i="2"/>
  <c r="I185" i="2"/>
  <c r="A185" i="2"/>
  <c r="Q184" i="2"/>
  <c r="J184" i="2"/>
  <c r="I184" i="2"/>
  <c r="A184" i="2"/>
  <c r="Q183" i="2"/>
  <c r="J183" i="2"/>
  <c r="I183" i="2"/>
  <c r="A183" i="2"/>
  <c r="Q182" i="2"/>
  <c r="J182" i="2"/>
  <c r="I182" i="2"/>
  <c r="A182" i="2"/>
  <c r="Q181" i="2"/>
  <c r="J181" i="2"/>
  <c r="I181" i="2"/>
  <c r="A181" i="2"/>
  <c r="Q180" i="2"/>
  <c r="J180" i="2"/>
  <c r="I180" i="2"/>
  <c r="A180" i="2"/>
  <c r="Q179" i="2"/>
  <c r="J179" i="2"/>
  <c r="I179" i="2"/>
  <c r="A179" i="2"/>
  <c r="Q178" i="2"/>
  <c r="J178" i="2"/>
  <c r="I178" i="2"/>
  <c r="A178" i="2"/>
  <c r="Q177" i="2"/>
  <c r="J177" i="2"/>
  <c r="I177" i="2"/>
  <c r="A177" i="2"/>
  <c r="Q176" i="2"/>
  <c r="J176" i="2"/>
  <c r="I176" i="2"/>
  <c r="A176" i="2"/>
  <c r="Q175" i="2"/>
  <c r="J175" i="2"/>
  <c r="I175" i="2"/>
  <c r="A175" i="2"/>
  <c r="Q174" i="2"/>
  <c r="J174" i="2"/>
  <c r="I174" i="2"/>
  <c r="A174" i="2"/>
  <c r="Q173" i="2"/>
  <c r="J173" i="2"/>
  <c r="I173" i="2"/>
  <c r="A173" i="2"/>
  <c r="Q172" i="2"/>
  <c r="J172" i="2"/>
  <c r="I172" i="2"/>
  <c r="A172" i="2"/>
  <c r="Q171" i="2"/>
  <c r="J171" i="2"/>
  <c r="I171" i="2"/>
  <c r="A171" i="2"/>
  <c r="Q170" i="2"/>
  <c r="J170" i="2"/>
  <c r="I170" i="2"/>
  <c r="A170" i="2"/>
  <c r="Q169" i="2"/>
  <c r="J169" i="2"/>
  <c r="I169" i="2"/>
  <c r="A169" i="2"/>
  <c r="Q168" i="2"/>
  <c r="J168" i="2"/>
  <c r="I168" i="2"/>
  <c r="A168" i="2"/>
  <c r="Q167" i="2"/>
  <c r="J167" i="2"/>
  <c r="I167" i="2"/>
  <c r="A167" i="2"/>
  <c r="Q166" i="2"/>
  <c r="J166" i="2"/>
  <c r="I166" i="2"/>
  <c r="A166" i="2"/>
  <c r="Q165" i="2"/>
  <c r="J165" i="2"/>
  <c r="I165" i="2"/>
  <c r="A165" i="2"/>
  <c r="Q164" i="2"/>
  <c r="J164" i="2"/>
  <c r="I164" i="2"/>
  <c r="A164" i="2"/>
  <c r="Q163" i="2"/>
  <c r="J163" i="2"/>
  <c r="I163" i="2"/>
  <c r="A163" i="2"/>
  <c r="Q162" i="2"/>
  <c r="J162" i="2"/>
  <c r="I162" i="2"/>
  <c r="A162" i="2"/>
  <c r="Q161" i="2"/>
  <c r="J161" i="2"/>
  <c r="I161" i="2"/>
  <c r="A161" i="2"/>
  <c r="Q160" i="2"/>
  <c r="J160" i="2"/>
  <c r="I160" i="2"/>
  <c r="A160" i="2"/>
  <c r="Q159" i="2"/>
  <c r="J159" i="2"/>
  <c r="I159" i="2"/>
  <c r="A159" i="2"/>
  <c r="Q158" i="2"/>
  <c r="J158" i="2"/>
  <c r="I158" i="2"/>
  <c r="A158" i="2"/>
  <c r="Q157" i="2"/>
  <c r="J157" i="2"/>
  <c r="I157" i="2"/>
  <c r="A157" i="2"/>
  <c r="Q156" i="2"/>
  <c r="J156" i="2"/>
  <c r="I156" i="2"/>
  <c r="A156" i="2"/>
  <c r="Q155" i="2"/>
  <c r="J155" i="2"/>
  <c r="I155" i="2"/>
  <c r="A155" i="2"/>
  <c r="Q154" i="2"/>
  <c r="J154" i="2"/>
  <c r="I154" i="2"/>
  <c r="A154" i="2"/>
  <c r="Q153" i="2"/>
  <c r="J153" i="2"/>
  <c r="I153" i="2"/>
  <c r="A153" i="2"/>
  <c r="Q152" i="2"/>
  <c r="J152" i="2"/>
  <c r="I152" i="2"/>
  <c r="A152" i="2"/>
  <c r="Q151" i="2"/>
  <c r="J151" i="2"/>
  <c r="I151" i="2"/>
  <c r="A151" i="2"/>
  <c r="Q150" i="2"/>
  <c r="J150" i="2"/>
  <c r="I150" i="2"/>
  <c r="A150" i="2"/>
  <c r="Q149" i="2"/>
  <c r="J149" i="2"/>
  <c r="I149" i="2"/>
  <c r="A149" i="2"/>
  <c r="Q148" i="2"/>
  <c r="J148" i="2"/>
  <c r="I148" i="2"/>
  <c r="A148" i="2"/>
  <c r="Q147" i="2"/>
  <c r="J147" i="2"/>
  <c r="I147" i="2"/>
  <c r="A147" i="2"/>
  <c r="Q146" i="2"/>
  <c r="J146" i="2"/>
  <c r="I146" i="2"/>
  <c r="A146" i="2"/>
  <c r="Q145" i="2"/>
  <c r="J145" i="2"/>
  <c r="I145" i="2"/>
  <c r="A145" i="2"/>
  <c r="Q144" i="2"/>
  <c r="J144" i="2"/>
  <c r="I144" i="2"/>
  <c r="A144" i="2"/>
  <c r="Q143" i="2"/>
  <c r="J143" i="2"/>
  <c r="I143" i="2"/>
  <c r="A143" i="2"/>
  <c r="Q142" i="2"/>
  <c r="J142" i="2"/>
  <c r="I142" i="2"/>
  <c r="A142" i="2"/>
  <c r="Q141" i="2"/>
  <c r="J141" i="2"/>
  <c r="I141" i="2"/>
  <c r="A141" i="2"/>
  <c r="Q140" i="2"/>
  <c r="J140" i="2"/>
  <c r="I140" i="2"/>
  <c r="A140" i="2"/>
  <c r="Q139" i="2"/>
  <c r="J139" i="2"/>
  <c r="I139" i="2"/>
  <c r="A139" i="2"/>
  <c r="Q138" i="2"/>
  <c r="J138" i="2"/>
  <c r="I138" i="2"/>
  <c r="A138" i="2"/>
  <c r="Q137" i="2"/>
  <c r="J137" i="2"/>
  <c r="I137" i="2"/>
  <c r="A137" i="2"/>
  <c r="Q136" i="2"/>
  <c r="J136" i="2"/>
  <c r="I136" i="2"/>
  <c r="A136" i="2"/>
  <c r="Q135" i="2"/>
  <c r="J135" i="2"/>
  <c r="I135" i="2"/>
  <c r="A135" i="2"/>
  <c r="Q134" i="2"/>
  <c r="J134" i="2"/>
  <c r="I134" i="2"/>
  <c r="A134" i="2"/>
  <c r="Q133" i="2"/>
  <c r="J133" i="2"/>
  <c r="I133" i="2"/>
  <c r="A133" i="2"/>
  <c r="Q132" i="2"/>
  <c r="J132" i="2"/>
  <c r="I132" i="2"/>
  <c r="A132" i="2"/>
  <c r="Q131" i="2"/>
  <c r="J131" i="2"/>
  <c r="I131" i="2"/>
  <c r="A131" i="2"/>
  <c r="Q130" i="2"/>
  <c r="J130" i="2"/>
  <c r="I130" i="2"/>
  <c r="A130" i="2"/>
  <c r="Q129" i="2"/>
  <c r="J129" i="2"/>
  <c r="I129" i="2"/>
  <c r="A129" i="2"/>
  <c r="Q128" i="2"/>
  <c r="J128" i="2"/>
  <c r="I128" i="2"/>
  <c r="A128" i="2"/>
  <c r="Q127" i="2"/>
  <c r="J127" i="2"/>
  <c r="I127" i="2"/>
  <c r="A127" i="2"/>
  <c r="Q126" i="2"/>
  <c r="J126" i="2"/>
  <c r="I126" i="2"/>
  <c r="A126" i="2"/>
  <c r="Q125" i="2"/>
  <c r="J125" i="2"/>
  <c r="I125" i="2"/>
  <c r="A125" i="2"/>
  <c r="Q124" i="2"/>
  <c r="J124" i="2"/>
  <c r="I124" i="2"/>
  <c r="A124" i="2"/>
  <c r="Q123" i="2"/>
  <c r="J123" i="2"/>
  <c r="I123" i="2"/>
  <c r="A123" i="2"/>
  <c r="Q122" i="2"/>
  <c r="J122" i="2"/>
  <c r="I122" i="2"/>
  <c r="A122" i="2"/>
  <c r="Q121" i="2"/>
  <c r="J121" i="2"/>
  <c r="I121" i="2"/>
  <c r="A121" i="2"/>
  <c r="Q120" i="2"/>
  <c r="J120" i="2"/>
  <c r="I120" i="2"/>
  <c r="A120" i="2"/>
  <c r="Q119" i="2"/>
  <c r="J119" i="2"/>
  <c r="I119" i="2"/>
  <c r="A119" i="2"/>
  <c r="Q118" i="2"/>
  <c r="J118" i="2"/>
  <c r="I118" i="2"/>
  <c r="A118" i="2"/>
  <c r="Q117" i="2"/>
  <c r="J117" i="2"/>
  <c r="I117" i="2"/>
  <c r="A117" i="2"/>
  <c r="Q116" i="2"/>
  <c r="J116" i="2"/>
  <c r="I116" i="2"/>
  <c r="A116" i="2"/>
  <c r="Q115" i="2"/>
  <c r="J115" i="2"/>
  <c r="I115" i="2"/>
  <c r="A115" i="2"/>
  <c r="Q114" i="2"/>
  <c r="J114" i="2"/>
  <c r="I114" i="2"/>
  <c r="A114" i="2"/>
  <c r="Q113" i="2"/>
  <c r="J113" i="2"/>
  <c r="I113" i="2"/>
  <c r="A113" i="2"/>
  <c r="Q112" i="2"/>
  <c r="J112" i="2"/>
  <c r="I112" i="2"/>
  <c r="A112" i="2"/>
  <c r="Q111" i="2"/>
  <c r="J111" i="2"/>
  <c r="I111" i="2"/>
  <c r="A111" i="2"/>
  <c r="Q110" i="2"/>
  <c r="J110" i="2"/>
  <c r="I110" i="2"/>
  <c r="A110" i="2"/>
  <c r="Q109" i="2"/>
  <c r="J109" i="2"/>
  <c r="I109" i="2"/>
  <c r="A109" i="2"/>
  <c r="Q108" i="2"/>
  <c r="J108" i="2"/>
  <c r="I108" i="2"/>
  <c r="A108" i="2"/>
  <c r="Q107" i="2"/>
  <c r="J107" i="2"/>
  <c r="I107" i="2"/>
  <c r="A107" i="2"/>
  <c r="Q106" i="2"/>
  <c r="J106" i="2"/>
  <c r="I106" i="2"/>
  <c r="A106" i="2"/>
  <c r="Q105" i="2"/>
  <c r="J105" i="2"/>
  <c r="I105" i="2"/>
  <c r="A105" i="2"/>
  <c r="Q104" i="2"/>
  <c r="J104" i="2"/>
  <c r="I104" i="2"/>
  <c r="A104" i="2"/>
  <c r="Q103" i="2"/>
  <c r="J103" i="2"/>
  <c r="I103" i="2"/>
  <c r="A103" i="2"/>
  <c r="Q102" i="2"/>
  <c r="J102" i="2"/>
  <c r="I102" i="2"/>
  <c r="A102" i="2"/>
  <c r="Q101" i="2"/>
  <c r="J101" i="2"/>
  <c r="I101" i="2"/>
  <c r="A101" i="2"/>
  <c r="Q100" i="2"/>
  <c r="J100" i="2"/>
  <c r="I100" i="2"/>
  <c r="A100" i="2"/>
  <c r="Q99" i="2"/>
  <c r="J99" i="2"/>
  <c r="I99" i="2"/>
  <c r="A99" i="2"/>
  <c r="Q98" i="2"/>
  <c r="J98" i="2"/>
  <c r="I98" i="2"/>
  <c r="A98" i="2"/>
  <c r="Q97" i="2"/>
  <c r="J97" i="2"/>
  <c r="I97" i="2"/>
  <c r="A97" i="2"/>
  <c r="Q96" i="2"/>
  <c r="J96" i="2"/>
  <c r="I96" i="2"/>
  <c r="A96" i="2"/>
  <c r="Q95" i="2"/>
  <c r="J95" i="2"/>
  <c r="I95" i="2"/>
  <c r="A95" i="2"/>
  <c r="Q94" i="2"/>
  <c r="J94" i="2"/>
  <c r="I94" i="2"/>
  <c r="A94" i="2"/>
  <c r="Q93" i="2"/>
  <c r="J93" i="2"/>
  <c r="I93" i="2"/>
  <c r="A93" i="2"/>
  <c r="Q92" i="2"/>
  <c r="J92" i="2"/>
  <c r="I92" i="2"/>
  <c r="A92" i="2"/>
  <c r="Q91" i="2"/>
  <c r="J91" i="2"/>
  <c r="I91" i="2"/>
  <c r="A91" i="2"/>
  <c r="Q90" i="2"/>
  <c r="J90" i="2"/>
  <c r="I90" i="2"/>
  <c r="A90" i="2"/>
  <c r="Q89" i="2"/>
  <c r="J89" i="2"/>
  <c r="I89" i="2"/>
  <c r="A89" i="2"/>
  <c r="Q88" i="2"/>
  <c r="J88" i="2"/>
  <c r="I88" i="2"/>
  <c r="A88" i="2"/>
  <c r="Q87" i="2"/>
  <c r="J87" i="2"/>
  <c r="I87" i="2"/>
  <c r="A87" i="2"/>
  <c r="Q86" i="2"/>
  <c r="J86" i="2"/>
  <c r="I86" i="2"/>
  <c r="A86" i="2"/>
  <c r="Q85" i="2"/>
  <c r="J85" i="2"/>
  <c r="I85" i="2"/>
  <c r="A85" i="2"/>
  <c r="Q84" i="2"/>
  <c r="J84" i="2"/>
  <c r="I84" i="2"/>
  <c r="A84" i="2"/>
  <c r="Q83" i="2"/>
  <c r="J83" i="2"/>
  <c r="I83" i="2"/>
  <c r="A83" i="2"/>
  <c r="Q82" i="2"/>
  <c r="J82" i="2"/>
  <c r="I82" i="2"/>
  <c r="A82" i="2"/>
  <c r="Q81" i="2"/>
  <c r="J81" i="2"/>
  <c r="I81" i="2"/>
  <c r="A81" i="2"/>
  <c r="Q80" i="2"/>
  <c r="J80" i="2"/>
  <c r="I80" i="2"/>
  <c r="A80" i="2"/>
  <c r="Q79" i="2"/>
  <c r="J79" i="2"/>
  <c r="I79" i="2"/>
  <c r="A79" i="2"/>
  <c r="Q78" i="2"/>
  <c r="J78" i="2"/>
  <c r="I78" i="2"/>
  <c r="A78" i="2"/>
  <c r="Q77" i="2"/>
  <c r="J77" i="2"/>
  <c r="I77" i="2"/>
  <c r="A77" i="2"/>
  <c r="Q76" i="2"/>
  <c r="J76" i="2"/>
  <c r="I76" i="2"/>
  <c r="A76" i="2"/>
  <c r="Q75" i="2"/>
  <c r="J75" i="2"/>
  <c r="I75" i="2"/>
  <c r="A75" i="2"/>
  <c r="Q74" i="2"/>
  <c r="J74" i="2"/>
  <c r="I74" i="2"/>
  <c r="A74" i="2"/>
  <c r="Q73" i="2"/>
  <c r="J73" i="2"/>
  <c r="I73" i="2"/>
  <c r="A73" i="2"/>
  <c r="Q72" i="2"/>
  <c r="J72" i="2"/>
  <c r="I72" i="2"/>
  <c r="A72" i="2"/>
  <c r="Q71" i="2"/>
  <c r="J71" i="2"/>
  <c r="I71" i="2"/>
  <c r="A71" i="2"/>
  <c r="Q70" i="2"/>
  <c r="J70" i="2"/>
  <c r="I70" i="2"/>
  <c r="A70" i="2"/>
  <c r="Q69" i="2"/>
  <c r="J69" i="2"/>
  <c r="I69" i="2"/>
  <c r="A69" i="2"/>
  <c r="Q68" i="2"/>
  <c r="J68" i="2"/>
  <c r="I68" i="2"/>
  <c r="A68" i="2"/>
  <c r="Q67" i="2"/>
  <c r="J67" i="2"/>
  <c r="I67" i="2"/>
  <c r="A67" i="2"/>
  <c r="Q66" i="2"/>
  <c r="J66" i="2"/>
  <c r="I66" i="2"/>
  <c r="A66" i="2"/>
  <c r="Q65" i="2"/>
  <c r="J65" i="2"/>
  <c r="I65" i="2"/>
  <c r="A65" i="2"/>
  <c r="Q64" i="2"/>
  <c r="J64" i="2"/>
  <c r="I64" i="2"/>
  <c r="A64" i="2"/>
  <c r="Q63" i="2"/>
  <c r="J63" i="2"/>
  <c r="I63" i="2"/>
  <c r="A63" i="2"/>
  <c r="Q62" i="2"/>
  <c r="J62" i="2"/>
  <c r="I62" i="2"/>
  <c r="A62" i="2"/>
  <c r="Q61" i="2"/>
  <c r="J61" i="2"/>
  <c r="I61" i="2"/>
  <c r="A61" i="2"/>
  <c r="Q60" i="2"/>
  <c r="J60" i="2"/>
  <c r="I60" i="2"/>
  <c r="A60" i="2"/>
  <c r="Q59" i="2"/>
  <c r="J59" i="2"/>
  <c r="I59" i="2"/>
  <c r="A59" i="2"/>
  <c r="Q58" i="2"/>
  <c r="J58" i="2"/>
  <c r="I58" i="2"/>
  <c r="A58" i="2"/>
  <c r="Q57" i="2"/>
  <c r="J57" i="2"/>
  <c r="I57" i="2"/>
  <c r="A57" i="2"/>
  <c r="Q56" i="2"/>
  <c r="J56" i="2"/>
  <c r="I56" i="2"/>
  <c r="A56" i="2"/>
  <c r="Q55" i="2"/>
  <c r="J55" i="2"/>
  <c r="I55" i="2"/>
  <c r="A55" i="2"/>
  <c r="Q54" i="2"/>
  <c r="J54" i="2"/>
  <c r="I54" i="2"/>
  <c r="A54" i="2"/>
  <c r="Q53" i="2"/>
  <c r="J53" i="2"/>
  <c r="I53" i="2"/>
  <c r="A53" i="2"/>
  <c r="Q52" i="2"/>
  <c r="J52" i="2"/>
  <c r="I52" i="2"/>
  <c r="A52" i="2"/>
  <c r="Q51" i="2"/>
  <c r="J51" i="2"/>
  <c r="I51" i="2"/>
  <c r="A51" i="2"/>
  <c r="Q50" i="2"/>
  <c r="J50" i="2"/>
  <c r="I50" i="2"/>
  <c r="A50" i="2"/>
  <c r="Q49" i="2"/>
  <c r="J49" i="2"/>
  <c r="I49" i="2"/>
  <c r="A49" i="2"/>
  <c r="Q48" i="2"/>
  <c r="J48" i="2"/>
  <c r="I48" i="2"/>
  <c r="A48" i="2"/>
  <c r="Q47" i="2"/>
  <c r="J47" i="2"/>
  <c r="I47" i="2"/>
  <c r="A47" i="2"/>
  <c r="Q46" i="2"/>
  <c r="J46" i="2"/>
  <c r="I46" i="2"/>
  <c r="A46" i="2"/>
  <c r="Q45" i="2"/>
  <c r="J45" i="2"/>
  <c r="I45" i="2"/>
  <c r="A45" i="2"/>
  <c r="Q44" i="2"/>
  <c r="J44" i="2"/>
  <c r="I44" i="2"/>
  <c r="A44" i="2"/>
  <c r="Q43" i="2"/>
  <c r="J43" i="2"/>
  <c r="I43" i="2"/>
  <c r="A43" i="2"/>
  <c r="Q42" i="2"/>
  <c r="J42" i="2"/>
  <c r="I42" i="2"/>
  <c r="A42" i="2"/>
  <c r="Q41" i="2"/>
  <c r="J41" i="2"/>
  <c r="I41" i="2"/>
  <c r="A41" i="2"/>
  <c r="Q40" i="2"/>
  <c r="J40" i="2"/>
  <c r="I40" i="2"/>
  <c r="A40" i="2"/>
  <c r="Q39" i="2"/>
  <c r="J39" i="2"/>
  <c r="I39" i="2"/>
  <c r="A39" i="2"/>
  <c r="Q38" i="2"/>
  <c r="J38" i="2"/>
  <c r="I38" i="2"/>
  <c r="A38" i="2"/>
  <c r="Q37" i="2"/>
  <c r="J37" i="2"/>
  <c r="I37" i="2"/>
  <c r="A37" i="2"/>
  <c r="Q36" i="2"/>
  <c r="J36" i="2"/>
  <c r="I36" i="2"/>
  <c r="A36" i="2"/>
  <c r="Q35" i="2"/>
  <c r="J35" i="2"/>
  <c r="I35" i="2"/>
  <c r="A35" i="2"/>
  <c r="Q34" i="2"/>
  <c r="J34" i="2"/>
  <c r="I34" i="2"/>
  <c r="A34" i="2"/>
  <c r="Q33" i="2"/>
  <c r="J33" i="2"/>
  <c r="I33" i="2"/>
  <c r="A33" i="2"/>
  <c r="Q32" i="2"/>
  <c r="J32" i="2"/>
  <c r="I32" i="2"/>
  <c r="A32" i="2"/>
  <c r="Q31" i="2"/>
  <c r="J31" i="2"/>
  <c r="I31" i="2"/>
  <c r="A31" i="2"/>
  <c r="Q30" i="2"/>
  <c r="J30" i="2"/>
  <c r="I30" i="2"/>
  <c r="A30" i="2"/>
  <c r="Q29" i="2"/>
  <c r="J29" i="2"/>
  <c r="I29" i="2"/>
  <c r="A29" i="2"/>
  <c r="Q28" i="2"/>
  <c r="J28" i="2"/>
  <c r="I28" i="2"/>
  <c r="A28" i="2"/>
  <c r="Q27" i="2"/>
  <c r="J27" i="2"/>
  <c r="I27" i="2"/>
  <c r="A27" i="2"/>
  <c r="Q26" i="2"/>
  <c r="J26" i="2"/>
  <c r="I26" i="2"/>
  <c r="A26" i="2"/>
  <c r="Q25" i="2"/>
  <c r="J25" i="2"/>
  <c r="I25" i="2"/>
  <c r="A25" i="2"/>
  <c r="Q24" i="2"/>
  <c r="J24" i="2"/>
  <c r="I24" i="2"/>
  <c r="A24" i="2"/>
  <c r="Q23" i="2"/>
  <c r="J23" i="2"/>
  <c r="I23" i="2"/>
  <c r="A23" i="2"/>
  <c r="Q22" i="2"/>
  <c r="J22" i="2"/>
  <c r="I22" i="2"/>
  <c r="A22" i="2"/>
  <c r="Q21" i="2"/>
  <c r="J21" i="2"/>
  <c r="I21" i="2"/>
  <c r="A21" i="2"/>
  <c r="Q20" i="2"/>
  <c r="J20" i="2"/>
  <c r="I20" i="2"/>
  <c r="A20" i="2"/>
  <c r="Q19" i="2"/>
  <c r="J19" i="2"/>
  <c r="I19" i="2"/>
  <c r="A19" i="2"/>
  <c r="Q18" i="2"/>
  <c r="J18" i="2"/>
  <c r="I18" i="2"/>
  <c r="A18" i="2"/>
  <c r="Q17" i="2"/>
  <c r="J17" i="2"/>
  <c r="I17" i="2"/>
  <c r="A17" i="2"/>
  <c r="Q16" i="2"/>
  <c r="J16" i="2"/>
  <c r="I16" i="2"/>
  <c r="A16" i="2"/>
  <c r="Q15" i="2"/>
  <c r="J15" i="2"/>
  <c r="I15" i="2"/>
  <c r="A15" i="2"/>
  <c r="Q14" i="2"/>
  <c r="J14" i="2"/>
  <c r="I14" i="2"/>
  <c r="A14" i="2"/>
  <c r="Q13" i="2"/>
  <c r="J13" i="2"/>
  <c r="I13" i="2"/>
  <c r="A13" i="2"/>
  <c r="Q12" i="2"/>
  <c r="J12" i="2"/>
  <c r="I12" i="2"/>
  <c r="A12" i="2"/>
  <c r="Q11" i="2"/>
  <c r="J11" i="2"/>
  <c r="I11" i="2"/>
  <c r="A11" i="2"/>
  <c r="Q10" i="2"/>
  <c r="J10" i="2"/>
  <c r="I10" i="2"/>
  <c r="A10" i="2"/>
  <c r="Q9" i="2"/>
  <c r="J9" i="2"/>
  <c r="I9" i="2"/>
  <c r="A9" i="2"/>
  <c r="Q8" i="2"/>
  <c r="J8" i="2"/>
  <c r="I8" i="2"/>
  <c r="A8" i="2"/>
  <c r="Q7" i="2"/>
  <c r="J7" i="2"/>
  <c r="I7" i="2"/>
  <c r="A7" i="2"/>
  <c r="Q6" i="2"/>
  <c r="J6" i="2"/>
  <c r="I6" i="2"/>
  <c r="A6" i="2"/>
  <c r="Q5" i="2"/>
  <c r="J5" i="2"/>
  <c r="I5" i="2"/>
  <c r="A5" i="2"/>
  <c r="Q4" i="2"/>
  <c r="J4" i="2"/>
  <c r="I4" i="2"/>
  <c r="A4" i="2"/>
  <c r="Q3" i="2"/>
  <c r="J3" i="2"/>
  <c r="I3" i="2"/>
  <c r="A3" i="2"/>
  <c r="Q2" i="2"/>
  <c r="J2" i="2"/>
  <c r="I2" i="2"/>
  <c r="A2" i="2"/>
  <c r="B6" i="5" s="1"/>
  <c r="S500" i="1"/>
  <c r="A500" i="1"/>
  <c r="S499" i="1"/>
  <c r="A499" i="1"/>
  <c r="S498" i="1"/>
  <c r="A498" i="1"/>
  <c r="S497" i="1"/>
  <c r="A497" i="1"/>
  <c r="S496" i="1"/>
  <c r="A496" i="1"/>
  <c r="S495" i="1"/>
  <c r="A495" i="1"/>
  <c r="S494" i="1"/>
  <c r="A494" i="1"/>
  <c r="S493" i="1"/>
  <c r="A493" i="1"/>
  <c r="S492" i="1"/>
  <c r="A492" i="1"/>
  <c r="S491" i="1"/>
  <c r="A491" i="1"/>
  <c r="S490" i="1"/>
  <c r="A490" i="1"/>
  <c r="S489" i="1"/>
  <c r="A489" i="1"/>
  <c r="S488" i="1"/>
  <c r="A488" i="1"/>
  <c r="S487" i="1"/>
  <c r="A487" i="1"/>
  <c r="S486" i="1"/>
  <c r="A486" i="1"/>
  <c r="S485" i="1"/>
  <c r="A485" i="1"/>
  <c r="S484" i="1"/>
  <c r="A484" i="1"/>
  <c r="S483" i="1"/>
  <c r="A483" i="1"/>
  <c r="S482" i="1"/>
  <c r="A482" i="1"/>
  <c r="S481" i="1"/>
  <c r="A481" i="1"/>
  <c r="S480" i="1"/>
  <c r="A480" i="1"/>
  <c r="S479" i="1"/>
  <c r="A479" i="1"/>
  <c r="S478" i="1"/>
  <c r="A478" i="1"/>
  <c r="S477" i="1"/>
  <c r="A477" i="1"/>
  <c r="S476" i="1"/>
  <c r="A476" i="1"/>
  <c r="S475" i="1"/>
  <c r="A475" i="1"/>
  <c r="S474" i="1"/>
  <c r="A474" i="1"/>
  <c r="S473" i="1"/>
  <c r="A473" i="1"/>
  <c r="S472" i="1"/>
  <c r="A472" i="1"/>
  <c r="S471" i="1"/>
  <c r="A471" i="1"/>
  <c r="S470" i="1"/>
  <c r="A470" i="1"/>
  <c r="S469" i="1"/>
  <c r="A469" i="1"/>
  <c r="S468" i="1"/>
  <c r="A468" i="1"/>
  <c r="S467" i="1"/>
  <c r="A467" i="1"/>
  <c r="S466" i="1"/>
  <c r="A466" i="1"/>
  <c r="S465" i="1"/>
  <c r="A465" i="1"/>
  <c r="S464" i="1"/>
  <c r="A464" i="1"/>
  <c r="S463" i="1"/>
  <c r="A463" i="1"/>
  <c r="S462" i="1"/>
  <c r="A462" i="1"/>
  <c r="S461" i="1"/>
  <c r="A461" i="1"/>
  <c r="S460" i="1"/>
  <c r="A460" i="1"/>
  <c r="S459" i="1"/>
  <c r="A459" i="1"/>
  <c r="S458" i="1"/>
  <c r="A458" i="1"/>
  <c r="S457" i="1"/>
  <c r="A457" i="1"/>
  <c r="S456" i="1"/>
  <c r="A456" i="1"/>
  <c r="S455" i="1"/>
  <c r="A455" i="1"/>
  <c r="S454" i="1"/>
  <c r="A454" i="1"/>
  <c r="S453" i="1"/>
  <c r="A453" i="1"/>
  <c r="S452" i="1"/>
  <c r="A452" i="1"/>
  <c r="S451" i="1"/>
  <c r="A451" i="1"/>
  <c r="S450" i="1"/>
  <c r="A450" i="1"/>
  <c r="S449" i="1"/>
  <c r="A449" i="1"/>
  <c r="S448" i="1"/>
  <c r="A448" i="1"/>
  <c r="S447" i="1"/>
  <c r="A447" i="1"/>
  <c r="S446" i="1"/>
  <c r="A446" i="1"/>
  <c r="S445" i="1"/>
  <c r="A445" i="1"/>
  <c r="S444" i="1"/>
  <c r="A444" i="1"/>
  <c r="S443" i="1"/>
  <c r="A443" i="1"/>
  <c r="S442" i="1"/>
  <c r="A442" i="1"/>
  <c r="S441" i="1"/>
  <c r="A441" i="1"/>
  <c r="S440" i="1"/>
  <c r="A440" i="1"/>
  <c r="S439" i="1"/>
  <c r="A439" i="1"/>
  <c r="S438" i="1"/>
  <c r="A438" i="1"/>
  <c r="S437" i="1"/>
  <c r="A437" i="1"/>
  <c r="S436" i="1"/>
  <c r="A436" i="1"/>
  <c r="S435" i="1"/>
  <c r="A435" i="1"/>
  <c r="S434" i="1"/>
  <c r="A434" i="1"/>
  <c r="S433" i="1"/>
  <c r="A433" i="1"/>
  <c r="S432" i="1"/>
  <c r="A432" i="1"/>
  <c r="S431" i="1"/>
  <c r="A431" i="1"/>
  <c r="S430" i="1"/>
  <c r="A430" i="1"/>
  <c r="S429" i="1"/>
  <c r="A429" i="1"/>
  <c r="S428" i="1"/>
  <c r="A428" i="1"/>
  <c r="S427" i="1"/>
  <c r="A427" i="1"/>
  <c r="S426" i="1"/>
  <c r="A426" i="1"/>
  <c r="S425" i="1"/>
  <c r="A425" i="1"/>
  <c r="S424" i="1"/>
  <c r="A424" i="1"/>
  <c r="S423" i="1"/>
  <c r="A423" i="1"/>
  <c r="S422" i="1"/>
  <c r="A422" i="1"/>
  <c r="S421" i="1"/>
  <c r="A421" i="1"/>
  <c r="S420" i="1"/>
  <c r="A420" i="1"/>
  <c r="S419" i="1"/>
  <c r="A419" i="1"/>
  <c r="S418" i="1"/>
  <c r="A418" i="1"/>
  <c r="S417" i="1"/>
  <c r="A417" i="1"/>
  <c r="S416" i="1"/>
  <c r="A416" i="1"/>
  <c r="S415" i="1"/>
  <c r="A415" i="1"/>
  <c r="S414" i="1"/>
  <c r="A414" i="1"/>
  <c r="S413" i="1"/>
  <c r="A413" i="1"/>
  <c r="S412" i="1"/>
  <c r="A412" i="1"/>
  <c r="S411" i="1"/>
  <c r="A411" i="1"/>
  <c r="S410" i="1"/>
  <c r="A410" i="1"/>
  <c r="S409" i="1"/>
  <c r="A409" i="1"/>
  <c r="S408" i="1"/>
  <c r="A408" i="1"/>
  <c r="S407" i="1"/>
  <c r="A407" i="1"/>
  <c r="S406" i="1"/>
  <c r="A406" i="1"/>
  <c r="S405" i="1"/>
  <c r="A405" i="1"/>
  <c r="S404" i="1"/>
  <c r="A404" i="1"/>
  <c r="S403" i="1"/>
  <c r="A403" i="1"/>
  <c r="S402" i="1"/>
  <c r="A402" i="1"/>
  <c r="S401" i="1"/>
  <c r="A401" i="1"/>
  <c r="S400" i="1"/>
  <c r="A400" i="1"/>
  <c r="S399" i="1"/>
  <c r="A399" i="1"/>
  <c r="S398" i="1"/>
  <c r="A398" i="1"/>
  <c r="S397" i="1"/>
  <c r="A397" i="1"/>
  <c r="S396" i="1"/>
  <c r="A396" i="1"/>
  <c r="S395" i="1"/>
  <c r="A395" i="1"/>
  <c r="S394" i="1"/>
  <c r="A394" i="1"/>
  <c r="S393" i="1"/>
  <c r="A393" i="1"/>
  <c r="S392" i="1"/>
  <c r="A392" i="1"/>
  <c r="S391" i="1"/>
  <c r="A391" i="1"/>
  <c r="S390" i="1"/>
  <c r="A390" i="1"/>
  <c r="S389" i="1"/>
  <c r="A389" i="1"/>
  <c r="S388" i="1"/>
  <c r="A388" i="1"/>
  <c r="S387" i="1"/>
  <c r="A387" i="1"/>
  <c r="S386" i="1"/>
  <c r="A386" i="1"/>
  <c r="S385" i="1"/>
  <c r="A385" i="1"/>
  <c r="S384" i="1"/>
  <c r="A384" i="1"/>
  <c r="S383" i="1"/>
  <c r="A383" i="1"/>
  <c r="S382" i="1"/>
  <c r="A382" i="1"/>
  <c r="S381" i="1"/>
  <c r="A381" i="1"/>
  <c r="S380" i="1"/>
  <c r="A380" i="1"/>
  <c r="S379" i="1"/>
  <c r="A379" i="1"/>
  <c r="S378" i="1"/>
  <c r="A378" i="1"/>
  <c r="S377" i="1"/>
  <c r="A377" i="1"/>
  <c r="S376" i="1"/>
  <c r="A376" i="1"/>
  <c r="S375" i="1"/>
  <c r="A375" i="1"/>
  <c r="S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A368" i="1"/>
  <c r="S367" i="1"/>
  <c r="A367" i="1"/>
  <c r="S366" i="1"/>
  <c r="A366" i="1"/>
  <c r="S365" i="1"/>
  <c r="A365" i="1"/>
  <c r="S364" i="1"/>
  <c r="A364" i="1"/>
  <c r="S363" i="1"/>
  <c r="A363" i="1"/>
  <c r="S362" i="1"/>
  <c r="A362" i="1"/>
  <c r="S361" i="1"/>
  <c r="A361" i="1"/>
  <c r="S360" i="1"/>
  <c r="A360" i="1"/>
  <c r="S359" i="1"/>
  <c r="A359" i="1"/>
  <c r="S358" i="1"/>
  <c r="A358" i="1"/>
  <c r="S357" i="1"/>
  <c r="A357" i="1"/>
  <c r="S356" i="1"/>
  <c r="A356" i="1"/>
  <c r="S355" i="1"/>
  <c r="A355" i="1"/>
  <c r="S354" i="1"/>
  <c r="A354" i="1"/>
  <c r="S353" i="1"/>
  <c r="A353" i="1"/>
  <c r="S352" i="1"/>
  <c r="A352" i="1"/>
  <c r="S351" i="1"/>
  <c r="A351" i="1"/>
  <c r="S350" i="1"/>
  <c r="A350" i="1"/>
  <c r="S349" i="1"/>
  <c r="A349" i="1"/>
  <c r="S348" i="1"/>
  <c r="A348" i="1"/>
  <c r="S347" i="1"/>
  <c r="A347" i="1"/>
  <c r="S346" i="1"/>
  <c r="A346" i="1"/>
  <c r="S345" i="1"/>
  <c r="A345" i="1"/>
  <c r="S344" i="1"/>
  <c r="A344" i="1"/>
  <c r="S343" i="1"/>
  <c r="A343" i="1"/>
  <c r="S342" i="1"/>
  <c r="A342" i="1"/>
  <c r="S341" i="1"/>
  <c r="A341" i="1"/>
  <c r="S340" i="1"/>
  <c r="A340" i="1"/>
  <c r="S339" i="1"/>
  <c r="A339" i="1"/>
  <c r="S338" i="1"/>
  <c r="A338" i="1"/>
  <c r="S337" i="1"/>
  <c r="A337" i="1"/>
  <c r="S336" i="1"/>
  <c r="A336" i="1"/>
  <c r="S335" i="1"/>
  <c r="A335" i="1"/>
  <c r="S334" i="1"/>
  <c r="A334" i="1"/>
  <c r="S333" i="1"/>
  <c r="A333" i="1"/>
  <c r="S332" i="1"/>
  <c r="A332" i="1"/>
  <c r="S331" i="1"/>
  <c r="A331" i="1"/>
  <c r="S330" i="1"/>
  <c r="A330" i="1"/>
  <c r="S329" i="1"/>
  <c r="A329" i="1"/>
  <c r="S328" i="1"/>
  <c r="A328" i="1"/>
  <c r="S327" i="1"/>
  <c r="A327" i="1"/>
  <c r="S326" i="1"/>
  <c r="A326" i="1"/>
  <c r="S325" i="1"/>
  <c r="A325" i="1"/>
  <c r="S324" i="1"/>
  <c r="A324" i="1"/>
  <c r="S323" i="1"/>
  <c r="A323" i="1"/>
  <c r="S322" i="1"/>
  <c r="A322" i="1"/>
  <c r="S321" i="1"/>
  <c r="A321" i="1"/>
  <c r="S320" i="1"/>
  <c r="A320" i="1"/>
  <c r="S319" i="1"/>
  <c r="A319" i="1"/>
  <c r="S318" i="1"/>
  <c r="A318" i="1"/>
  <c r="S317" i="1"/>
  <c r="A317" i="1"/>
  <c r="S316" i="1"/>
  <c r="A316" i="1"/>
  <c r="S315" i="1"/>
  <c r="A315" i="1"/>
  <c r="S314" i="1"/>
  <c r="A314" i="1"/>
  <c r="S313" i="1"/>
  <c r="A313" i="1"/>
  <c r="S312" i="1"/>
  <c r="A312" i="1"/>
  <c r="S311" i="1"/>
  <c r="A311" i="1"/>
  <c r="S310" i="1"/>
  <c r="A310" i="1"/>
  <c r="S309" i="1"/>
  <c r="A309" i="1"/>
  <c r="S308" i="1"/>
  <c r="A308" i="1"/>
  <c r="S307" i="1"/>
  <c r="A307" i="1"/>
  <c r="S306" i="1"/>
  <c r="A306" i="1"/>
  <c r="S305" i="1"/>
  <c r="A305" i="1"/>
  <c r="S304" i="1"/>
  <c r="A304" i="1"/>
  <c r="S303" i="1"/>
  <c r="A303" i="1"/>
  <c r="S302" i="1"/>
  <c r="A302" i="1"/>
  <c r="S301" i="1"/>
  <c r="A301" i="1"/>
  <c r="S300" i="1"/>
  <c r="A300" i="1"/>
  <c r="S299" i="1"/>
  <c r="A299" i="1"/>
  <c r="S298" i="1"/>
  <c r="A298" i="1"/>
  <c r="S297" i="1"/>
  <c r="A297" i="1"/>
  <c r="S296" i="1"/>
  <c r="A296" i="1"/>
  <c r="S295" i="1"/>
  <c r="A295" i="1"/>
  <c r="S294" i="1"/>
  <c r="A294" i="1"/>
  <c r="S293" i="1"/>
  <c r="A293" i="1"/>
  <c r="S292" i="1"/>
  <c r="A292" i="1"/>
  <c r="S291" i="1"/>
  <c r="A291" i="1"/>
  <c r="S290" i="1"/>
  <c r="A290" i="1"/>
  <c r="S289" i="1"/>
  <c r="A289" i="1"/>
  <c r="S288" i="1"/>
  <c r="A288" i="1"/>
  <c r="S287" i="1"/>
  <c r="A287" i="1"/>
  <c r="S286" i="1"/>
  <c r="A286" i="1"/>
  <c r="S285" i="1"/>
  <c r="A285" i="1"/>
  <c r="S284" i="1"/>
  <c r="A284" i="1"/>
  <c r="S283" i="1"/>
  <c r="A283" i="1"/>
  <c r="S282" i="1"/>
  <c r="A282" i="1"/>
  <c r="S281" i="1"/>
  <c r="A281" i="1"/>
  <c r="S280" i="1"/>
  <c r="A280" i="1"/>
  <c r="S279" i="1"/>
  <c r="A279" i="1"/>
  <c r="S278" i="1"/>
  <c r="A278" i="1"/>
  <c r="S277" i="1"/>
  <c r="A277" i="1"/>
  <c r="S276" i="1"/>
  <c r="A276" i="1"/>
  <c r="S275" i="1"/>
  <c r="A275" i="1"/>
  <c r="S274" i="1"/>
  <c r="A274" i="1"/>
  <c r="S273" i="1"/>
  <c r="A273" i="1"/>
  <c r="S272" i="1"/>
  <c r="A272" i="1"/>
  <c r="S271" i="1"/>
  <c r="A271" i="1"/>
  <c r="S270" i="1"/>
  <c r="A270" i="1"/>
  <c r="S269" i="1"/>
  <c r="A269" i="1"/>
  <c r="S268" i="1"/>
  <c r="A268" i="1"/>
  <c r="S267" i="1"/>
  <c r="A267" i="1"/>
  <c r="S266" i="1"/>
  <c r="A266" i="1"/>
  <c r="S265" i="1"/>
  <c r="A265" i="1"/>
  <c r="S264" i="1"/>
  <c r="A264" i="1"/>
  <c r="S263" i="1"/>
  <c r="A263" i="1"/>
  <c r="S262" i="1"/>
  <c r="A262" i="1"/>
  <c r="S261" i="1"/>
  <c r="A261" i="1"/>
  <c r="S260" i="1"/>
  <c r="A260" i="1"/>
  <c r="S259" i="1"/>
  <c r="A259" i="1"/>
  <c r="S258" i="1"/>
  <c r="A258" i="1"/>
  <c r="S257" i="1"/>
  <c r="A257" i="1"/>
  <c r="S256" i="1"/>
  <c r="A256" i="1"/>
  <c r="S255" i="1"/>
  <c r="A255" i="1"/>
  <c r="S254" i="1"/>
  <c r="A254" i="1"/>
  <c r="S253" i="1"/>
  <c r="A253" i="1"/>
  <c r="S252" i="1"/>
  <c r="A252" i="1"/>
  <c r="S251" i="1"/>
  <c r="A251" i="1"/>
  <c r="S250" i="1"/>
  <c r="A250" i="1"/>
  <c r="S249" i="1"/>
  <c r="A249" i="1"/>
  <c r="S248" i="1"/>
  <c r="A248" i="1"/>
  <c r="S247" i="1"/>
  <c r="A247" i="1"/>
  <c r="S246" i="1"/>
  <c r="A246" i="1"/>
  <c r="S245" i="1"/>
  <c r="A245" i="1"/>
  <c r="S244" i="1"/>
  <c r="A244" i="1"/>
  <c r="S243" i="1"/>
  <c r="A243" i="1"/>
  <c r="S242" i="1"/>
  <c r="A242" i="1"/>
  <c r="S241" i="1"/>
  <c r="A241" i="1"/>
  <c r="S240" i="1"/>
  <c r="A240" i="1"/>
  <c r="S239" i="1"/>
  <c r="A239" i="1"/>
  <c r="S238" i="1"/>
  <c r="A238" i="1"/>
  <c r="S237" i="1"/>
  <c r="A237" i="1"/>
  <c r="S236" i="1"/>
  <c r="A236" i="1"/>
  <c r="S235" i="1"/>
  <c r="A235" i="1"/>
  <c r="S234" i="1"/>
  <c r="A234" i="1"/>
  <c r="S233" i="1"/>
  <c r="A233" i="1"/>
  <c r="S232" i="1"/>
  <c r="A232" i="1"/>
  <c r="S231" i="1"/>
  <c r="A231" i="1"/>
  <c r="S230" i="1"/>
  <c r="A230" i="1"/>
  <c r="S229" i="1"/>
  <c r="A229" i="1"/>
  <c r="S228" i="1"/>
  <c r="A228" i="1"/>
  <c r="S227" i="1"/>
  <c r="A227" i="1"/>
  <c r="S226" i="1"/>
  <c r="A226" i="1"/>
  <c r="S225" i="1"/>
  <c r="A225" i="1"/>
  <c r="S224" i="1"/>
  <c r="A224" i="1"/>
  <c r="S223" i="1"/>
  <c r="A223" i="1"/>
  <c r="S222" i="1"/>
  <c r="A222" i="1"/>
  <c r="S221" i="1"/>
  <c r="A221" i="1"/>
  <c r="S220" i="1"/>
  <c r="A220" i="1"/>
  <c r="S219" i="1"/>
  <c r="A219" i="1"/>
  <c r="S218" i="1"/>
  <c r="A218" i="1"/>
  <c r="S217" i="1"/>
  <c r="A217" i="1"/>
  <c r="S216" i="1"/>
  <c r="A216" i="1"/>
  <c r="S215" i="1"/>
  <c r="A215" i="1"/>
  <c r="S214" i="1"/>
  <c r="A214" i="1"/>
  <c r="S213" i="1"/>
  <c r="A213" i="1"/>
  <c r="S212" i="1"/>
  <c r="A212" i="1"/>
  <c r="S211" i="1"/>
  <c r="A211" i="1"/>
  <c r="S210" i="1"/>
  <c r="A210" i="1"/>
  <c r="S209" i="1"/>
  <c r="A209" i="1"/>
  <c r="S208" i="1"/>
  <c r="A208" i="1"/>
  <c r="S207" i="1"/>
  <c r="A207" i="1"/>
  <c r="S206" i="1"/>
  <c r="A206" i="1"/>
  <c r="S205" i="1"/>
  <c r="A205" i="1"/>
  <c r="S204" i="1"/>
  <c r="A204" i="1"/>
  <c r="S203" i="1"/>
  <c r="A203" i="1"/>
  <c r="S202" i="1"/>
  <c r="A202" i="1"/>
  <c r="S201" i="1"/>
  <c r="A201" i="1"/>
  <c r="S200" i="1"/>
  <c r="A200" i="1"/>
  <c r="S199" i="1"/>
  <c r="A199" i="1"/>
  <c r="S198" i="1"/>
  <c r="A198" i="1"/>
  <c r="S197" i="1"/>
  <c r="A197" i="1"/>
  <c r="S196" i="1"/>
  <c r="A196" i="1"/>
  <c r="S195" i="1"/>
  <c r="A195" i="1"/>
  <c r="S194" i="1"/>
  <c r="A194" i="1"/>
  <c r="S193" i="1"/>
  <c r="A193" i="1"/>
  <c r="S192" i="1"/>
  <c r="A192" i="1"/>
  <c r="S191" i="1"/>
  <c r="A191" i="1"/>
  <c r="S190" i="1"/>
  <c r="A190" i="1"/>
  <c r="S189" i="1"/>
  <c r="A189" i="1"/>
  <c r="S188" i="1"/>
  <c r="A188" i="1"/>
  <c r="S187" i="1"/>
  <c r="A187" i="1"/>
  <c r="S186" i="1"/>
  <c r="A186" i="1"/>
  <c r="S185" i="1"/>
  <c r="A185" i="1"/>
  <c r="S184" i="1"/>
  <c r="A184" i="1"/>
  <c r="S183" i="1"/>
  <c r="A183" i="1"/>
  <c r="S182" i="1"/>
  <c r="A182" i="1"/>
  <c r="S181" i="1"/>
  <c r="A181" i="1"/>
  <c r="S180" i="1"/>
  <c r="A180" i="1"/>
  <c r="S179" i="1"/>
  <c r="A179" i="1"/>
  <c r="S178" i="1"/>
  <c r="A178" i="1"/>
  <c r="S177" i="1"/>
  <c r="A177" i="1"/>
  <c r="S176" i="1"/>
  <c r="A176" i="1"/>
  <c r="S175" i="1"/>
  <c r="A175" i="1"/>
  <c r="S174" i="1"/>
  <c r="A174" i="1"/>
  <c r="S173" i="1"/>
  <c r="A173" i="1"/>
  <c r="S172" i="1"/>
  <c r="A172" i="1"/>
  <c r="S171" i="1"/>
  <c r="A171" i="1"/>
  <c r="S170" i="1"/>
  <c r="A170" i="1"/>
  <c r="S169" i="1"/>
  <c r="A169" i="1"/>
  <c r="S168" i="1"/>
  <c r="A168" i="1"/>
  <c r="S167" i="1"/>
  <c r="A167" i="1"/>
  <c r="S166" i="1"/>
  <c r="A166" i="1"/>
  <c r="S165" i="1"/>
  <c r="A165" i="1"/>
  <c r="S164" i="1"/>
  <c r="A164" i="1"/>
  <c r="S163" i="1"/>
  <c r="A163" i="1"/>
  <c r="S162" i="1"/>
  <c r="A162" i="1"/>
  <c r="S161" i="1"/>
  <c r="A161" i="1"/>
  <c r="S160" i="1"/>
  <c r="A160" i="1"/>
  <c r="S159" i="1"/>
  <c r="A159" i="1"/>
  <c r="S158" i="1"/>
  <c r="A158" i="1"/>
  <c r="S157" i="1"/>
  <c r="A157" i="1"/>
  <c r="S156" i="1"/>
  <c r="A156" i="1"/>
  <c r="S155" i="1"/>
  <c r="A155" i="1"/>
  <c r="S154" i="1"/>
  <c r="A154" i="1"/>
  <c r="S153" i="1"/>
  <c r="A153" i="1"/>
  <c r="S152" i="1"/>
  <c r="A152" i="1"/>
  <c r="S151" i="1"/>
  <c r="A151" i="1"/>
  <c r="S150" i="1"/>
  <c r="A150" i="1"/>
  <c r="S149" i="1"/>
  <c r="A149" i="1"/>
  <c r="S148" i="1"/>
  <c r="A148" i="1"/>
  <c r="S147" i="1"/>
  <c r="A147" i="1"/>
  <c r="S146" i="1"/>
  <c r="A146" i="1"/>
  <c r="S145" i="1"/>
  <c r="A145" i="1"/>
  <c r="S144" i="1"/>
  <c r="A144" i="1"/>
  <c r="S143" i="1"/>
  <c r="A143" i="1"/>
  <c r="S142" i="1"/>
  <c r="A142" i="1"/>
  <c r="S141" i="1"/>
  <c r="A141" i="1"/>
  <c r="S140" i="1"/>
  <c r="A140" i="1"/>
  <c r="S139" i="1"/>
  <c r="A139" i="1"/>
  <c r="S138" i="1"/>
  <c r="A138" i="1"/>
  <c r="S137" i="1"/>
  <c r="A137" i="1"/>
  <c r="S136" i="1"/>
  <c r="A136" i="1"/>
  <c r="S135" i="1"/>
  <c r="A135" i="1"/>
  <c r="S134" i="1"/>
  <c r="A134" i="1"/>
  <c r="S133" i="1"/>
  <c r="A133" i="1"/>
  <c r="S132" i="1"/>
  <c r="A132" i="1"/>
  <c r="S131" i="1"/>
  <c r="A131" i="1"/>
  <c r="S130" i="1"/>
  <c r="A130" i="1"/>
  <c r="S129" i="1"/>
  <c r="A129" i="1"/>
  <c r="S128" i="1"/>
  <c r="A128" i="1"/>
  <c r="S127" i="1"/>
  <c r="A127" i="1"/>
  <c r="S126" i="1"/>
  <c r="A126" i="1"/>
  <c r="S125" i="1"/>
  <c r="A125" i="1"/>
  <c r="S124" i="1"/>
  <c r="A124" i="1"/>
  <c r="S123" i="1"/>
  <c r="A123" i="1"/>
  <c r="S122" i="1"/>
  <c r="A122" i="1"/>
  <c r="S121" i="1"/>
  <c r="A121" i="1"/>
  <c r="S120" i="1"/>
  <c r="A120" i="1"/>
  <c r="S119" i="1"/>
  <c r="A119" i="1"/>
  <c r="S118" i="1"/>
  <c r="A118" i="1"/>
  <c r="S117" i="1"/>
  <c r="A117" i="1"/>
  <c r="S116" i="1"/>
  <c r="A116" i="1"/>
  <c r="S115" i="1"/>
  <c r="A115" i="1"/>
  <c r="S114" i="1"/>
  <c r="A114" i="1"/>
  <c r="S113" i="1"/>
  <c r="A113" i="1"/>
  <c r="S112" i="1"/>
  <c r="A112" i="1"/>
  <c r="S111" i="1"/>
  <c r="A111" i="1"/>
  <c r="S110" i="1"/>
  <c r="A110" i="1"/>
  <c r="S109" i="1"/>
  <c r="A109" i="1"/>
  <c r="S108" i="1"/>
  <c r="A108" i="1"/>
  <c r="S107" i="1"/>
  <c r="A107" i="1"/>
  <c r="S106" i="1"/>
  <c r="A106" i="1"/>
  <c r="S105" i="1"/>
  <c r="A105" i="1"/>
  <c r="S104" i="1"/>
  <c r="A104" i="1"/>
  <c r="S103" i="1"/>
  <c r="A103" i="1"/>
  <c r="S102" i="1"/>
  <c r="A102" i="1"/>
  <c r="S101" i="1"/>
  <c r="A101" i="1"/>
  <c r="S100" i="1"/>
  <c r="A100" i="1"/>
  <c r="S99" i="1"/>
  <c r="A99" i="1"/>
  <c r="S98" i="1"/>
  <c r="A98" i="1"/>
  <c r="S97" i="1"/>
  <c r="A97" i="1"/>
  <c r="S96" i="1"/>
  <c r="A96" i="1"/>
  <c r="S95" i="1"/>
  <c r="A95" i="1"/>
  <c r="S94" i="1"/>
  <c r="A94" i="1"/>
  <c r="S93" i="1"/>
  <c r="A93" i="1"/>
  <c r="S92" i="1"/>
  <c r="A92" i="1"/>
  <c r="S91" i="1"/>
  <c r="A91" i="1"/>
  <c r="S90" i="1"/>
  <c r="A90" i="1"/>
  <c r="S89" i="1"/>
  <c r="A89" i="1"/>
  <c r="S88" i="1"/>
  <c r="A88" i="1"/>
  <c r="S87" i="1"/>
  <c r="A87" i="1"/>
  <c r="S86" i="1"/>
  <c r="A86" i="1"/>
  <c r="S85" i="1"/>
  <c r="A85" i="1"/>
  <c r="S84" i="1"/>
  <c r="A84" i="1"/>
  <c r="S83" i="1"/>
  <c r="A83" i="1"/>
  <c r="S82" i="1"/>
  <c r="A82" i="1"/>
  <c r="S81" i="1"/>
  <c r="A81" i="1"/>
  <c r="S80" i="1"/>
  <c r="A80" i="1"/>
  <c r="S79" i="1"/>
  <c r="A79" i="1"/>
  <c r="S78" i="1"/>
  <c r="A78" i="1"/>
  <c r="S77" i="1"/>
  <c r="A77" i="1"/>
  <c r="S76" i="1"/>
  <c r="A76" i="1"/>
  <c r="S75" i="1"/>
  <c r="A75" i="1"/>
  <c r="S74" i="1"/>
  <c r="A74" i="1"/>
  <c r="S73" i="1"/>
  <c r="A73" i="1"/>
  <c r="S72" i="1"/>
  <c r="A72" i="1"/>
  <c r="S71" i="1"/>
  <c r="A71" i="1"/>
  <c r="S70" i="1"/>
  <c r="A70" i="1"/>
  <c r="S69" i="1"/>
  <c r="A69" i="1"/>
  <c r="S68" i="1"/>
  <c r="A68" i="1"/>
  <c r="S67" i="1"/>
  <c r="A67" i="1"/>
  <c r="S66" i="1"/>
  <c r="A66" i="1"/>
  <c r="S65" i="1"/>
  <c r="A65" i="1"/>
  <c r="S64" i="1"/>
  <c r="A64" i="1"/>
  <c r="S63" i="1"/>
  <c r="A63" i="1"/>
  <c r="S62" i="1"/>
  <c r="A62" i="1"/>
  <c r="S61" i="1"/>
  <c r="A61" i="1"/>
  <c r="S60" i="1"/>
  <c r="A60" i="1"/>
  <c r="S59" i="1"/>
  <c r="A59" i="1"/>
  <c r="S58" i="1"/>
  <c r="A58" i="1"/>
  <c r="S57" i="1"/>
  <c r="A57" i="1"/>
  <c r="S56" i="1"/>
  <c r="A56" i="1"/>
  <c r="S55" i="1"/>
  <c r="A55" i="1"/>
  <c r="S54" i="1"/>
  <c r="A54" i="1"/>
  <c r="S53" i="1"/>
  <c r="A53" i="1"/>
  <c r="S52" i="1"/>
  <c r="A52" i="1"/>
  <c r="S51" i="1"/>
  <c r="A51" i="1"/>
  <c r="S50" i="1"/>
  <c r="A50" i="1"/>
  <c r="S49" i="1"/>
  <c r="A49" i="1"/>
  <c r="S48" i="1"/>
  <c r="A48" i="1"/>
  <c r="S47" i="1"/>
  <c r="A47" i="1"/>
  <c r="S46" i="1"/>
  <c r="A46" i="1"/>
  <c r="S45" i="1"/>
  <c r="A45" i="1"/>
  <c r="S44" i="1"/>
  <c r="A44" i="1"/>
  <c r="S43" i="1"/>
  <c r="A43" i="1"/>
  <c r="S42" i="1"/>
  <c r="A42" i="1"/>
  <c r="S41" i="1"/>
  <c r="A41" i="1"/>
  <c r="S40" i="1"/>
  <c r="A40" i="1"/>
  <c r="S39" i="1"/>
  <c r="A39" i="1"/>
  <c r="S38" i="1"/>
  <c r="A38" i="1"/>
  <c r="S37" i="1"/>
  <c r="A37" i="1"/>
  <c r="S36" i="1"/>
  <c r="A36" i="1"/>
  <c r="S35" i="1"/>
  <c r="A35" i="1"/>
  <c r="S34" i="1"/>
  <c r="A34" i="1"/>
  <c r="S33" i="1"/>
  <c r="A33" i="1"/>
  <c r="S32" i="1"/>
  <c r="A32" i="1"/>
  <c r="S31" i="1"/>
  <c r="A31" i="1"/>
  <c r="S30" i="1"/>
  <c r="A30" i="1"/>
  <c r="S29" i="1"/>
  <c r="A29" i="1"/>
  <c r="S28" i="1"/>
  <c r="A28" i="1"/>
  <c r="S27" i="1"/>
  <c r="A27" i="1"/>
  <c r="S26" i="1"/>
  <c r="A26" i="1"/>
  <c r="S25" i="1"/>
  <c r="A25" i="1"/>
  <c r="S24" i="1"/>
  <c r="A24" i="1"/>
  <c r="S23" i="1"/>
  <c r="A23" i="1"/>
  <c r="S22" i="1"/>
  <c r="A22" i="1"/>
  <c r="S21" i="1"/>
  <c r="A21" i="1"/>
  <c r="S20" i="1"/>
  <c r="A20" i="1"/>
  <c r="S19" i="1"/>
  <c r="A19" i="1"/>
  <c r="S18" i="1"/>
  <c r="A18" i="1"/>
  <c r="S17" i="1"/>
  <c r="A17" i="1"/>
  <c r="S16" i="1"/>
  <c r="A16" i="1"/>
  <c r="S15" i="1"/>
  <c r="A15" i="1"/>
  <c r="S14" i="1"/>
  <c r="A14" i="1"/>
  <c r="S13" i="1"/>
  <c r="A13" i="1"/>
  <c r="S12" i="1"/>
  <c r="A12" i="1"/>
  <c r="S11" i="1"/>
  <c r="A11" i="1"/>
  <c r="S10" i="1"/>
  <c r="A10" i="1"/>
  <c r="S9" i="1"/>
  <c r="A9" i="1"/>
  <c r="S8" i="1"/>
  <c r="A8" i="1"/>
  <c r="S7" i="1"/>
  <c r="A7" i="1"/>
  <c r="S6" i="1"/>
  <c r="A6" i="1"/>
  <c r="S5" i="1"/>
  <c r="A5" i="1"/>
  <c r="S4" i="1"/>
  <c r="A4" i="1"/>
  <c r="S3" i="1"/>
  <c r="A3" i="1"/>
  <c r="S2" i="1"/>
  <c r="A2" i="1"/>
  <c r="B3" i="5" s="1"/>
  <c r="B17" i="5" l="1"/>
  <c r="C17" i="5"/>
  <c r="B18" i="5"/>
  <c r="E18" i="5" s="1"/>
  <c r="E17" i="5"/>
  <c r="B14" i="5"/>
  <c r="E14" i="5" s="1"/>
  <c r="B16" i="5"/>
  <c r="E16" i="5" s="1"/>
  <c r="C16" i="5"/>
  <c r="C14" i="5"/>
  <c r="B15" i="5"/>
  <c r="E15" i="5" s="1"/>
  <c r="C18" i="5"/>
  <c r="C15" i="5"/>
</calcChain>
</file>

<file path=xl/sharedStrings.xml><?xml version="1.0" encoding="utf-8"?>
<sst xmlns="http://schemas.openxmlformats.org/spreadsheetml/2006/main" count="128" uniqueCount="107">
  <si>
    <t>ID_VACANTE</t>
  </si>
  <si>
    <t>FECHA_SOLICITUD</t>
  </si>
  <si>
    <t>CLIENTE</t>
  </si>
  <si>
    <t>ZONA</t>
  </si>
  <si>
    <t>PUESTO</t>
  </si>
  <si>
    <t>VACANTES_SOLICITADAS</t>
  </si>
  <si>
    <t>SUELDO_MENSUAL</t>
  </si>
  <si>
    <t>PRESTACIONES</t>
  </si>
  <si>
    <t>HORARIO</t>
  </si>
  <si>
    <t>BANCO</t>
  </si>
  <si>
    <t>ESTUDIOS</t>
  </si>
  <si>
    <t>EXPERIENCIA_REQUERIDA</t>
  </si>
  <si>
    <t>SEXO</t>
  </si>
  <si>
    <t>EDAD</t>
  </si>
  <si>
    <t>PRIORIDAD</t>
  </si>
  <si>
    <t>ESTATUS</t>
  </si>
  <si>
    <t>FECHA_CUBIERTA</t>
  </si>
  <si>
    <t>DIAS_ABIERTA</t>
  </si>
  <si>
    <t>RECLUTADOR_LIDER</t>
  </si>
  <si>
    <t>OBSERVACIONES</t>
  </si>
  <si>
    <t>ID_CANDIDATO</t>
  </si>
  <si>
    <t>FECHA_CAPTURA</t>
  </si>
  <si>
    <t>CANDIDATO</t>
  </si>
  <si>
    <t>TELEFONO</t>
  </si>
  <si>
    <t>DOMICILIO</t>
  </si>
  <si>
    <t>CURP</t>
  </si>
  <si>
    <t>RFC</t>
  </si>
  <si>
    <t>RECLUTADOR</t>
  </si>
  <si>
    <t>FUENTE</t>
  </si>
  <si>
    <t>ETAPA</t>
  </si>
  <si>
    <t>APTO</t>
  </si>
  <si>
    <t>CONTRATADO</t>
  </si>
  <si>
    <t>FECHA_INGRESO</t>
  </si>
  <si>
    <t>DIAS_PROCESO</t>
  </si>
  <si>
    <t>SUELDO_OFRECIDO</t>
  </si>
  <si>
    <t>COMENTARIOS</t>
  </si>
  <si>
    <t>FECHA_ASIGNACION</t>
  </si>
  <si>
    <t>CANDIDATOS_PRESENTADOS</t>
  </si>
  <si>
    <t>CANDIDATOS_APTOS</t>
  </si>
  <si>
    <t>CONTRATADOS</t>
  </si>
  <si>
    <t>%_CONVERSION</t>
  </si>
  <si>
    <t>ESTATUS_VACANTE</t>
  </si>
  <si>
    <t>ETAPA_CANDIDATO</t>
  </si>
  <si>
    <t>SI_NO</t>
  </si>
  <si>
    <t>ABIERTA</t>
  </si>
  <si>
    <t>NUEVO</t>
  </si>
  <si>
    <t>SI</t>
  </si>
  <si>
    <t>Facebook</t>
  </si>
  <si>
    <t>ALTA</t>
  </si>
  <si>
    <t>INDISTINTO</t>
  </si>
  <si>
    <t>EN PROCESO</t>
  </si>
  <si>
    <t>CONTACTADO</t>
  </si>
  <si>
    <t>NO</t>
  </si>
  <si>
    <t>LinkedIn</t>
  </si>
  <si>
    <t>MEDIA</t>
  </si>
  <si>
    <t>MASCULINO</t>
  </si>
  <si>
    <t>CUBIERTA</t>
  </si>
  <si>
    <t>ENTREVISTA</t>
  </si>
  <si>
    <t>WhatsApp</t>
  </si>
  <si>
    <t>BAJA</t>
  </si>
  <si>
    <t>FEMENINO</t>
  </si>
  <si>
    <t>CANCELADA</t>
  </si>
  <si>
    <t>Referido</t>
  </si>
  <si>
    <t>PAUSADA</t>
  </si>
  <si>
    <t>NO APTO</t>
  </si>
  <si>
    <t>Bolsa de trabajo</t>
  </si>
  <si>
    <t>Otro</t>
  </si>
  <si>
    <t>DESCARTADO</t>
  </si>
  <si>
    <t>REPORTE RESUMEN DE RECLUTAMIENTO 2026</t>
  </si>
  <si>
    <t>Vacantes registradas</t>
  </si>
  <si>
    <t>Estatus vacante</t>
  </si>
  <si>
    <t>Total</t>
  </si>
  <si>
    <t>Vacantes abiertas</t>
  </si>
  <si>
    <t>Vacantes cubiertas</t>
  </si>
  <si>
    <t>Candidatos capturados</t>
  </si>
  <si>
    <t>Candidatos aptos</t>
  </si>
  <si>
    <t>Contratados</t>
  </si>
  <si>
    <t>Conversión contratado/candidato</t>
  </si>
  <si>
    <t>Días promedio cobertura</t>
  </si>
  <si>
    <t>Reclutador</t>
  </si>
  <si>
    <t>Presentados</t>
  </si>
  <si>
    <t>Aptos</t>
  </si>
  <si>
    <t>% Conversión</t>
  </si>
  <si>
    <t>Cómo usar: captura primero las vacantes en BD_VACANTES, después candidatos en BD_CANDIDATOS y asignaciones en BD_RECLUTADORES. El DASHBOARD se actualiza con fórmulas al abrir/calcular el archivo en Excel.</t>
  </si>
  <si>
    <t>EL CAMINO</t>
  </si>
  <si>
    <t>GTS</t>
  </si>
  <si>
    <t>FILM</t>
  </si>
  <si>
    <t>ECOVIA</t>
  </si>
  <si>
    <t>NM FIRE</t>
  </si>
  <si>
    <t>LUNACO</t>
  </si>
  <si>
    <t>HEB</t>
  </si>
  <si>
    <t>CERRO DEL FRAILE</t>
  </si>
  <si>
    <t>I CALIZA</t>
  </si>
  <si>
    <t>CONSTRUCTORA HFC</t>
  </si>
  <si>
    <t>Monica Soto</t>
  </si>
  <si>
    <t>Pricila de Leòn</t>
  </si>
  <si>
    <t>Belem Gonzalez</t>
  </si>
  <si>
    <t>Servando Heriberto Moreno</t>
  </si>
  <si>
    <t>Aaron Brandon</t>
  </si>
  <si>
    <t>Aaron Vazquez</t>
  </si>
  <si>
    <t>GRUPO RIVERO</t>
  </si>
  <si>
    <t>JINSEONG TECH</t>
  </si>
  <si>
    <t>INCASA</t>
  </si>
  <si>
    <t>PLASTIC EXPRESS</t>
  </si>
  <si>
    <t>AÑOS_EXPERIENCIA</t>
  </si>
  <si>
    <t>MELTER</t>
  </si>
  <si>
    <t>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</si>
</sst>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name val="Carlito"/>
    </font>
    <font>
      <i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 wrapText="1"/>
    </xf>
    <xf numFmtId="0" fontId="1" fillId="3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horizontal="center" wrapText="1"/>
    </xf>
    <xf numFmtId="0" fontId="1" fillId="5" borderId="0" xfId="0" applyNumberFormat="1" applyFont="1" applyFill="1" applyBorder="1" applyAlignment="1">
      <alignment horizontal="center" vertical="center" wrapText="1"/>
    </xf>
    <xf numFmtId="9" fontId="0" fillId="0" borderId="0" xfId="0" applyNumberFormat="1" applyFont="1" applyFill="1" applyBorder="1"/>
    <xf numFmtId="0" fontId="3" fillId="6" borderId="0" xfId="0" applyNumberFormat="1" applyFont="1" applyFill="1" applyBorder="1" applyAlignment="1">
      <alignment wrapText="1"/>
    </xf>
    <xf numFmtId="0" fontId="4" fillId="7" borderId="0" xfId="0" applyNumberFormat="1" applyFont="1" applyFill="1" applyBorder="1" applyAlignment="1">
      <alignment horizontal="center" wrapText="1"/>
    </xf>
    <xf numFmtId="9" fontId="4" fillId="7" borderId="0" xfId="0" applyNumberFormat="1" applyFont="1" applyFill="1" applyBorder="1" applyAlignment="1">
      <alignment horizontal="center" wrapText="1"/>
    </xf>
    <xf numFmtId="165" fontId="4" fillId="7" borderId="0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5" fillId="8" borderId="0" xfId="0" applyNumberFormat="1" applyFont="1" applyFill="1" applyBorder="1" applyAlignment="1">
      <alignment wrapText="1"/>
    </xf>
  </cellXfs>
  <cellStyles count="1">
    <cellStyle name="Normal" xfId="0" builtinId="0"/>
  </cellStyles>
  <dxfs count="5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DASHBOARD!$D$4:$D$8</c:f>
              <c:strCache>
                <c:ptCount val="5"/>
                <c:pt idx="0">
                  <c:v>ABIERTA</c:v>
                </c:pt>
                <c:pt idx="1">
                  <c:v>EN PROCESO</c:v>
                </c:pt>
                <c:pt idx="2">
                  <c:v>CUBIERTA</c:v>
                </c:pt>
                <c:pt idx="3">
                  <c:v>CANCELADA</c:v>
                </c:pt>
                <c:pt idx="4">
                  <c:v>PAUSADA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6-4132-A379-89A99C4D7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Presentados</c:v>
          </c:tx>
          <c:invertIfNegative val="1"/>
          <c:cat>
            <c:strRef>
              <c:f>DASHBOARD!$A$14:$A$18</c:f>
              <c:strCache>
                <c:ptCount val="5"/>
                <c:pt idx="0">
                  <c:v>Monica Soto</c:v>
                </c:pt>
                <c:pt idx="1">
                  <c:v>Pricila de Leòn</c:v>
                </c:pt>
                <c:pt idx="2">
                  <c:v>Belem Gonzalez</c:v>
                </c:pt>
                <c:pt idx="3">
                  <c:v>Servando Heriberto Moreno</c:v>
                </c:pt>
                <c:pt idx="4">
                  <c:v>Aaron Vazquez</c:v>
                </c:pt>
              </c:strCache>
            </c:strRef>
          </c:cat>
          <c:val>
            <c:numRef>
              <c:f>DASHBOARD!$B$14:$B$18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0-49E4-A421-21E71397D7D2}"/>
            </c:ext>
          </c:extLst>
        </c:ser>
        <c:ser>
          <c:idx val="1"/>
          <c:order val="1"/>
          <c:tx>
            <c:v>Aptos</c:v>
          </c:tx>
          <c:invertIfNegative val="1"/>
          <c:cat>
            <c:strRef>
              <c:f>DASHBOARD!$A$14:$A$18</c:f>
              <c:strCache>
                <c:ptCount val="5"/>
                <c:pt idx="0">
                  <c:v>Monica Soto</c:v>
                </c:pt>
                <c:pt idx="1">
                  <c:v>Pricila de Leòn</c:v>
                </c:pt>
                <c:pt idx="2">
                  <c:v>Belem Gonzalez</c:v>
                </c:pt>
                <c:pt idx="3">
                  <c:v>Servando Heriberto Moreno</c:v>
                </c:pt>
                <c:pt idx="4">
                  <c:v>Aaron Vazquez</c:v>
                </c:pt>
              </c:strCache>
            </c:strRef>
          </c:cat>
          <c:val>
            <c:numRef>
              <c:f>DASHBOARD!$C$14:$C$18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0-49E4-A421-21E71397D7D2}"/>
            </c:ext>
          </c:extLst>
        </c:ser>
        <c:ser>
          <c:idx val="2"/>
          <c:order val="2"/>
          <c:tx>
            <c:v>Contratados</c:v>
          </c:tx>
          <c:invertIfNegative val="1"/>
          <c:cat>
            <c:strRef>
              <c:f>DASHBOARD!$A$14:$A$18</c:f>
              <c:strCache>
                <c:ptCount val="5"/>
                <c:pt idx="0">
                  <c:v>Monica Soto</c:v>
                </c:pt>
                <c:pt idx="1">
                  <c:v>Pricila de Leòn</c:v>
                </c:pt>
                <c:pt idx="2">
                  <c:v>Belem Gonzalez</c:v>
                </c:pt>
                <c:pt idx="3">
                  <c:v>Servando Heriberto Moreno</c:v>
                </c:pt>
                <c:pt idx="4">
                  <c:v>Aaron Vazquez</c:v>
                </c:pt>
              </c:strCache>
            </c:strRef>
          </c:cat>
          <c:val>
            <c:numRef>
              <c:f>DASHBOARD!$D$14:$D$18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30-49E4-A421-21E71397D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Vacantes" displayName="TablaVacantes" ref="A1:U500">
  <tableColumns count="21">
    <tableColumn id="1" xr3:uid="{00000000-0010-0000-0000-000001000000}" name="ID_VACANTE"/>
    <tableColumn id="2" xr3:uid="{00000000-0010-0000-0000-000002000000}" name="FECHA_SOLICITUD"/>
    <tableColumn id="3" xr3:uid="{00000000-0010-0000-0000-000003000000}" name="CLIENTE"/>
    <tableColumn id="4" xr3:uid="{00000000-0010-0000-0000-000004000000}" name="ZONA"/>
    <tableColumn id="5" xr3:uid="{00000000-0010-0000-0000-000005000000}" name="PUESTO"/>
    <tableColumn id="6" xr3:uid="{00000000-0010-0000-0000-000006000000}" name="VACANTES_SOLICITADAS"/>
    <tableColumn id="7" xr3:uid="{00000000-0010-0000-0000-000007000000}" name="SUELDO_MENSUAL"/>
    <tableColumn id="8" xr3:uid="{00000000-0010-0000-0000-000008000000}" name="PRESTACIONES"/>
    <tableColumn id="9" xr3:uid="{00000000-0010-0000-0000-000009000000}" name="HORARIO"/>
    <tableColumn id="10" xr3:uid="{00000000-0010-0000-0000-00000A000000}" name="BANCO"/>
    <tableColumn id="11" xr3:uid="{00000000-0010-0000-0000-00000B000000}" name="ESTUDIOS"/>
    <tableColumn id="12" xr3:uid="{00000000-0010-0000-0000-00000C000000}" name="AÑOS_EXPERIENCIA"/>
    <tableColumn id="13" xr3:uid="{00000000-0010-0000-0000-00000D000000}" name="EXPERIENCIA_REQUERIDA"/>
    <tableColumn id="14" xr3:uid="{00000000-0010-0000-0000-00000E000000}" name="SEXO"/>
    <tableColumn id="15" xr3:uid="{00000000-0010-0000-0000-00000F000000}" name="EDAD"/>
    <tableColumn id="16" xr3:uid="{00000000-0010-0000-0000-000010000000}" name="PRIORIDAD"/>
    <tableColumn id="17" xr3:uid="{00000000-0010-0000-0000-000011000000}" name="ESTATUS"/>
    <tableColumn id="18" xr3:uid="{00000000-0010-0000-0000-000012000000}" name="FECHA_CUBIERTA"/>
    <tableColumn id="19" xr3:uid="{00000000-0010-0000-0000-000013000000}" name="DIAS_ABIERTA"/>
    <tableColumn id="20" xr3:uid="{00000000-0010-0000-0000-000014000000}" name="RECLUTADOR_LIDER"/>
    <tableColumn id="21" xr3:uid="{00000000-0010-0000-0000-000015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andidatos" displayName="TablaCandidatos" ref="A1:S500">
  <tableColumns count="19">
    <tableColumn id="1" xr3:uid="{00000000-0010-0000-0100-000001000000}" name="ID_CANDIDATO"/>
    <tableColumn id="2" xr3:uid="{00000000-0010-0000-0100-000002000000}" name="FECHA_CAPTURA"/>
    <tableColumn id="3" xr3:uid="{00000000-0010-0000-0100-000003000000}" name="CANDIDATO"/>
    <tableColumn id="4" xr3:uid="{00000000-0010-0000-0100-000004000000}" name="TELEFONO"/>
    <tableColumn id="5" xr3:uid="{00000000-0010-0000-0100-000005000000}" name="DOMICILIO"/>
    <tableColumn id="6" xr3:uid="{00000000-0010-0000-0100-000006000000}" name="CURP"/>
    <tableColumn id="7" xr3:uid="{00000000-0010-0000-0100-000007000000}" name="RFC"/>
    <tableColumn id="8" xr3:uid="{00000000-0010-0000-0100-000008000000}" name="ID_VACANTE"/>
    <tableColumn id="9" xr3:uid="{00000000-0010-0000-0100-000009000000}" name="CLIENTE"/>
    <tableColumn id="10" xr3:uid="{00000000-0010-0000-0100-00000A000000}" name="PUESTO"/>
    <tableColumn id="11" xr3:uid="{00000000-0010-0000-0100-00000B000000}" name="RECLUTADOR"/>
    <tableColumn id="12" xr3:uid="{00000000-0010-0000-0100-00000C000000}" name="FUENTE"/>
    <tableColumn id="13" xr3:uid="{00000000-0010-0000-0100-00000D000000}" name="ETAPA"/>
    <tableColumn id="14" xr3:uid="{00000000-0010-0000-0100-00000E000000}" name="APTO"/>
    <tableColumn id="15" xr3:uid="{00000000-0010-0000-0100-00000F000000}" name="CONTRATADO"/>
    <tableColumn id="16" xr3:uid="{00000000-0010-0000-0100-000010000000}" name="FECHA_INGRESO"/>
    <tableColumn id="17" xr3:uid="{00000000-0010-0000-0100-000011000000}" name="DIAS_PROCESO"/>
    <tableColumn id="18" xr3:uid="{00000000-0010-0000-0100-000012000000}" name="SUELDO_OFRECIDO"/>
    <tableColumn id="19" xr3:uid="{00000000-0010-0000-0100-000013000000}" name="COMENTARI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Reclutadores" displayName="TablaReclutadores" ref="A1:J200">
  <tableColumns count="10">
    <tableColumn id="1" xr3:uid="{00000000-0010-0000-0200-000001000000}" name="RECLUTADOR"/>
    <tableColumn id="2" xr3:uid="{00000000-0010-0000-0200-000002000000}" name="ID_VACANTE"/>
    <tableColumn id="3" xr3:uid="{00000000-0010-0000-0200-000003000000}" name="CLIENTE"/>
    <tableColumn id="4" xr3:uid="{00000000-0010-0000-0200-000004000000}" name="PUESTO"/>
    <tableColumn id="5" xr3:uid="{00000000-0010-0000-0200-000005000000}" name="FECHA_ASIGNACION"/>
    <tableColumn id="6" xr3:uid="{00000000-0010-0000-0200-000006000000}" name="CANDIDATOS_PRESENTADOS"/>
    <tableColumn id="7" xr3:uid="{00000000-0010-0000-0200-000007000000}" name="CANDIDATOS_APTOS"/>
    <tableColumn id="8" xr3:uid="{00000000-0010-0000-0200-000008000000}" name="CONTRATADOS"/>
    <tableColumn id="9" xr3:uid="{00000000-0010-0000-0200-000009000000}" name="%_CONVERSION"/>
    <tableColumn id="10" xr3:uid="{00000000-0010-0000-0200-00000A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umenEstatus" displayName="ResumenEstatus" ref="D3:E8">
  <tableColumns count="2">
    <tableColumn id="1" xr3:uid="{00000000-0010-0000-0300-000001000000}" name="Estatus vacante"/>
    <tableColumn id="2" xr3:uid="{00000000-0010-0000-0300-000002000000}" name="Tot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sumenReclutador" displayName="ResumenReclutador" ref="A13:E18">
  <tableColumns count="5">
    <tableColumn id="1" xr3:uid="{00000000-0010-0000-0400-000001000000}" name="Reclutador"/>
    <tableColumn id="2" xr3:uid="{00000000-0010-0000-0400-000002000000}" name="Presentados"/>
    <tableColumn id="3" xr3:uid="{00000000-0010-0000-0400-000003000000}" name="Aptos"/>
    <tableColumn id="4" xr3:uid="{00000000-0010-0000-0400-000004000000}" name="Contratados"/>
    <tableColumn id="5" xr3:uid="{00000000-0010-0000-0400-000005000000}" name="% Conver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"/>
  <sheetViews>
    <sheetView tabSelected="1" workbookViewId="0">
      <selection activeCell="U4" sqref="U4"/>
    </sheetView>
  </sheetViews>
  <sheetFormatPr baseColWidth="10" defaultColWidth="8.6640625" defaultRowHeight="14"/>
  <cols>
    <col min="1" max="1" width="12.4140625" bestFit="1" customWidth="1"/>
    <col min="2" max="2" width="19.58203125" customWidth="1"/>
    <col min="3" max="5" width="22" customWidth="1"/>
    <col min="6" max="6" width="27.9140625" customWidth="1"/>
    <col min="7" max="7" width="19.33203125" customWidth="1"/>
    <col min="8" max="13" width="24" customWidth="1"/>
    <col min="14" max="14" width="7.08203125" customWidth="1"/>
    <col min="15" max="15" width="7.25" customWidth="1"/>
    <col min="16" max="16" width="11.9140625" customWidth="1"/>
    <col min="17" max="17" width="10.83203125" customWidth="1"/>
    <col min="18" max="18" width="17.5" customWidth="1"/>
    <col min="19" max="19" width="14.1640625" customWidth="1"/>
    <col min="20" max="20" width="21.33203125" customWidth="1"/>
    <col min="21" max="21" width="32" customWidth="1"/>
  </cols>
  <sheetData>
    <row r="1" spans="1:21" ht="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>
      <c r="A2" s="5" t="str">
        <f t="shared" ref="A2:A65" si="0">IF(C2&lt;&gt;"","VAC-"&amp;TEXT(ROW()-1,"0000"),"")</f>
        <v/>
      </c>
      <c r="B2" s="6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8" t="str">
        <f t="shared" ref="S2:S65" ca="1" si="1">IF(B2="","",IF(R2&lt;&gt;"",R2-B2,TODAY()-B2))</f>
        <v/>
      </c>
      <c r="T2" s="5"/>
      <c r="U2" s="5"/>
    </row>
    <row r="3" spans="1:21">
      <c r="A3" s="5" t="str">
        <f t="shared" si="0"/>
        <v/>
      </c>
      <c r="B3" s="6"/>
      <c r="C3" s="5"/>
      <c r="D3" s="5"/>
      <c r="E3" s="5"/>
      <c r="F3" s="5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8" t="str">
        <f t="shared" ca="1" si="1"/>
        <v/>
      </c>
      <c r="T3" s="5"/>
      <c r="U3" s="5"/>
    </row>
    <row r="4" spans="1:21">
      <c r="A4" s="5" t="str">
        <f t="shared" si="0"/>
        <v/>
      </c>
      <c r="B4" s="6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6"/>
      <c r="S4" s="8" t="str">
        <f t="shared" ca="1" si="1"/>
        <v/>
      </c>
      <c r="T4" s="5"/>
      <c r="U4" s="5"/>
    </row>
    <row r="5" spans="1:21">
      <c r="A5" s="5" t="str">
        <f t="shared" si="0"/>
        <v/>
      </c>
      <c r="B5" s="6"/>
      <c r="C5" s="5"/>
      <c r="D5" s="5"/>
      <c r="E5" s="5"/>
      <c r="F5" s="5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8" t="str">
        <f t="shared" ca="1" si="1"/>
        <v/>
      </c>
      <c r="T5" s="5"/>
      <c r="U5" s="5"/>
    </row>
    <row r="6" spans="1:21">
      <c r="A6" s="5" t="str">
        <f t="shared" si="0"/>
        <v/>
      </c>
      <c r="B6" s="6"/>
      <c r="C6" s="5"/>
      <c r="D6" s="5"/>
      <c r="E6" s="5"/>
      <c r="F6" s="5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6"/>
      <c r="S6" s="8" t="str">
        <f t="shared" ca="1" si="1"/>
        <v/>
      </c>
      <c r="T6" s="5"/>
      <c r="U6" s="5"/>
    </row>
    <row r="7" spans="1:21">
      <c r="A7" s="5" t="str">
        <f t="shared" si="0"/>
        <v/>
      </c>
      <c r="B7" s="6"/>
      <c r="C7" s="5"/>
      <c r="D7" s="5"/>
      <c r="E7" s="5"/>
      <c r="F7" s="5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6"/>
      <c r="S7" s="8" t="str">
        <f t="shared" ca="1" si="1"/>
        <v/>
      </c>
      <c r="T7" s="5"/>
      <c r="U7" s="5"/>
    </row>
    <row r="8" spans="1:21">
      <c r="A8" s="5" t="str">
        <f t="shared" si="0"/>
        <v/>
      </c>
      <c r="B8" s="6"/>
      <c r="C8" s="5"/>
      <c r="D8" s="5"/>
      <c r="E8" s="5"/>
      <c r="F8" s="5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8" t="str">
        <f t="shared" ca="1" si="1"/>
        <v/>
      </c>
      <c r="T8" s="5"/>
      <c r="U8" s="5"/>
    </row>
    <row r="9" spans="1:21">
      <c r="A9" s="5" t="str">
        <f t="shared" si="0"/>
        <v/>
      </c>
      <c r="B9" s="6"/>
      <c r="C9" s="5"/>
      <c r="D9" s="5"/>
      <c r="E9" s="5"/>
      <c r="F9" s="5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8" t="str">
        <f t="shared" ca="1" si="1"/>
        <v/>
      </c>
      <c r="T9" s="5"/>
      <c r="U9" s="5"/>
    </row>
    <row r="10" spans="1:21">
      <c r="A10" s="5" t="str">
        <f t="shared" si="0"/>
        <v/>
      </c>
      <c r="B10" s="6"/>
      <c r="C10" s="5"/>
      <c r="D10" s="5"/>
      <c r="E10" s="5"/>
      <c r="F10" s="5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  <c r="S10" s="8" t="str">
        <f t="shared" ca="1" si="1"/>
        <v/>
      </c>
      <c r="T10" s="5"/>
      <c r="U10" s="5"/>
    </row>
    <row r="11" spans="1:21">
      <c r="A11" s="5" t="str">
        <f t="shared" si="0"/>
        <v/>
      </c>
      <c r="B11" s="6"/>
      <c r="C11" s="5"/>
      <c r="D11" s="5"/>
      <c r="E11" s="5"/>
      <c r="F11" s="5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  <c r="S11" s="8" t="str">
        <f t="shared" ca="1" si="1"/>
        <v/>
      </c>
      <c r="T11" s="5"/>
      <c r="U11" s="5"/>
    </row>
    <row r="12" spans="1:21">
      <c r="A12" s="5" t="str">
        <f t="shared" si="0"/>
        <v/>
      </c>
      <c r="B12" s="6"/>
      <c r="C12" s="5"/>
      <c r="D12" s="5"/>
      <c r="E12" s="5"/>
      <c r="F12" s="5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  <c r="S12" s="8" t="str">
        <f t="shared" ca="1" si="1"/>
        <v/>
      </c>
      <c r="T12" s="5"/>
      <c r="U12" s="5"/>
    </row>
    <row r="13" spans="1:21">
      <c r="A13" s="5" t="str">
        <f t="shared" si="0"/>
        <v/>
      </c>
      <c r="B13" s="6"/>
      <c r="C13" s="5"/>
      <c r="D13" s="5"/>
      <c r="E13" s="5"/>
      <c r="F13" s="5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6"/>
      <c r="S13" s="8" t="str">
        <f t="shared" ca="1" si="1"/>
        <v/>
      </c>
      <c r="T13" s="5"/>
      <c r="U13" s="5"/>
    </row>
    <row r="14" spans="1:21">
      <c r="A14" s="5" t="str">
        <f t="shared" si="0"/>
        <v/>
      </c>
      <c r="B14" s="6"/>
      <c r="C14" s="5"/>
      <c r="D14" s="5"/>
      <c r="E14" s="5"/>
      <c r="F14" s="5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6"/>
      <c r="S14" s="8" t="str">
        <f t="shared" ca="1" si="1"/>
        <v/>
      </c>
      <c r="T14" s="5"/>
      <c r="U14" s="5"/>
    </row>
    <row r="15" spans="1:21">
      <c r="A15" s="5" t="str">
        <f t="shared" si="0"/>
        <v/>
      </c>
      <c r="B15" s="6"/>
      <c r="C15" s="5"/>
      <c r="D15" s="5"/>
      <c r="E15" s="5"/>
      <c r="F15" s="5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6"/>
      <c r="S15" s="8" t="str">
        <f t="shared" ca="1" si="1"/>
        <v/>
      </c>
      <c r="T15" s="5"/>
      <c r="U15" s="5"/>
    </row>
    <row r="16" spans="1:21">
      <c r="A16" s="5" t="str">
        <f t="shared" si="0"/>
        <v/>
      </c>
      <c r="B16" s="6"/>
      <c r="C16" s="5"/>
      <c r="D16" s="5"/>
      <c r="E16" s="5"/>
      <c r="F16" s="5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8" t="str">
        <f t="shared" ca="1" si="1"/>
        <v/>
      </c>
      <c r="T16" s="5"/>
      <c r="U16" s="5"/>
    </row>
    <row r="17" spans="1:21">
      <c r="A17" s="5" t="str">
        <f t="shared" si="0"/>
        <v/>
      </c>
      <c r="B17" s="6"/>
      <c r="C17" s="5"/>
      <c r="D17" s="5"/>
      <c r="E17" s="5"/>
      <c r="F17" s="5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6"/>
      <c r="S17" s="8" t="str">
        <f t="shared" ca="1" si="1"/>
        <v/>
      </c>
      <c r="T17" s="5"/>
      <c r="U17" s="5"/>
    </row>
    <row r="18" spans="1:21">
      <c r="A18" s="5" t="str">
        <f t="shared" si="0"/>
        <v/>
      </c>
      <c r="B18" s="6"/>
      <c r="C18" s="5"/>
      <c r="D18" s="5"/>
      <c r="E18" s="5"/>
      <c r="F18" s="5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6"/>
      <c r="S18" s="8" t="str">
        <f t="shared" ca="1" si="1"/>
        <v/>
      </c>
      <c r="T18" s="5"/>
      <c r="U18" s="5"/>
    </row>
    <row r="19" spans="1:21">
      <c r="A19" s="5" t="str">
        <f t="shared" si="0"/>
        <v/>
      </c>
      <c r="B19" s="6"/>
      <c r="C19" s="5"/>
      <c r="D19" s="5"/>
      <c r="E19" s="5"/>
      <c r="F19" s="5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S19" s="8" t="str">
        <f t="shared" ca="1" si="1"/>
        <v/>
      </c>
      <c r="T19" s="5"/>
      <c r="U19" s="5"/>
    </row>
    <row r="20" spans="1:21">
      <c r="A20" s="5" t="str">
        <f t="shared" si="0"/>
        <v/>
      </c>
      <c r="B20" s="6"/>
      <c r="C20" s="5"/>
      <c r="D20" s="5"/>
      <c r="E20" s="5"/>
      <c r="F20" s="5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6"/>
      <c r="S20" s="8" t="str">
        <f t="shared" ca="1" si="1"/>
        <v/>
      </c>
      <c r="T20" s="5"/>
      <c r="U20" s="5"/>
    </row>
    <row r="21" spans="1:21">
      <c r="A21" s="5" t="str">
        <f t="shared" si="0"/>
        <v/>
      </c>
      <c r="B21" s="6"/>
      <c r="C21" s="5"/>
      <c r="D21" s="5"/>
      <c r="E21" s="5"/>
      <c r="F21" s="5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6"/>
      <c r="S21" s="8" t="str">
        <f t="shared" ca="1" si="1"/>
        <v/>
      </c>
      <c r="T21" s="5"/>
      <c r="U21" s="5"/>
    </row>
    <row r="22" spans="1:21">
      <c r="A22" s="5" t="str">
        <f t="shared" si="0"/>
        <v/>
      </c>
      <c r="B22" s="6"/>
      <c r="C22" s="5"/>
      <c r="D22" s="5"/>
      <c r="E22" s="5"/>
      <c r="F22" s="5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6"/>
      <c r="S22" s="8" t="str">
        <f t="shared" ca="1" si="1"/>
        <v/>
      </c>
      <c r="T22" s="5"/>
      <c r="U22" s="5"/>
    </row>
    <row r="23" spans="1:21">
      <c r="A23" s="5" t="str">
        <f t="shared" si="0"/>
        <v/>
      </c>
      <c r="B23" s="6"/>
      <c r="C23" s="5"/>
      <c r="D23" s="5"/>
      <c r="E23" s="5"/>
      <c r="F23" s="5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6"/>
      <c r="S23" s="8" t="str">
        <f t="shared" ca="1" si="1"/>
        <v/>
      </c>
      <c r="T23" s="5"/>
      <c r="U23" s="5"/>
    </row>
    <row r="24" spans="1:21">
      <c r="A24" s="5" t="str">
        <f t="shared" si="0"/>
        <v/>
      </c>
      <c r="B24" s="6"/>
      <c r="C24" s="5"/>
      <c r="D24" s="5"/>
      <c r="E24" s="5"/>
      <c r="F24" s="5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6"/>
      <c r="S24" s="8" t="str">
        <f t="shared" ca="1" si="1"/>
        <v/>
      </c>
      <c r="T24" s="5"/>
      <c r="U24" s="5"/>
    </row>
    <row r="25" spans="1:21">
      <c r="A25" s="5" t="str">
        <f t="shared" si="0"/>
        <v/>
      </c>
      <c r="B25" s="6"/>
      <c r="C25" s="5"/>
      <c r="D25" s="5"/>
      <c r="E25" s="5"/>
      <c r="F25" s="5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6"/>
      <c r="S25" s="8" t="str">
        <f t="shared" ca="1" si="1"/>
        <v/>
      </c>
      <c r="T25" s="5"/>
      <c r="U25" s="5"/>
    </row>
    <row r="26" spans="1:21">
      <c r="A26" s="5" t="str">
        <f t="shared" si="0"/>
        <v/>
      </c>
      <c r="B26" s="6"/>
      <c r="C26" s="5"/>
      <c r="D26" s="5"/>
      <c r="E26" s="5"/>
      <c r="F26" s="5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6"/>
      <c r="S26" s="8" t="str">
        <f t="shared" ca="1" si="1"/>
        <v/>
      </c>
      <c r="T26" s="5"/>
      <c r="U26" s="5"/>
    </row>
    <row r="27" spans="1:21">
      <c r="A27" s="5" t="str">
        <f t="shared" si="0"/>
        <v/>
      </c>
      <c r="B27" s="6"/>
      <c r="C27" s="5"/>
      <c r="D27" s="5"/>
      <c r="E27" s="5"/>
      <c r="F27" s="5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6"/>
      <c r="S27" s="8" t="str">
        <f t="shared" ca="1" si="1"/>
        <v/>
      </c>
      <c r="T27" s="5"/>
      <c r="U27" s="5"/>
    </row>
    <row r="28" spans="1:21">
      <c r="A28" s="5" t="str">
        <f t="shared" si="0"/>
        <v/>
      </c>
      <c r="B28" s="6"/>
      <c r="C28" s="5"/>
      <c r="D28" s="5"/>
      <c r="E28" s="5"/>
      <c r="F28" s="5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6"/>
      <c r="S28" s="8" t="str">
        <f t="shared" ca="1" si="1"/>
        <v/>
      </c>
      <c r="T28" s="5"/>
      <c r="U28" s="5"/>
    </row>
    <row r="29" spans="1:21">
      <c r="A29" s="5" t="str">
        <f t="shared" si="0"/>
        <v/>
      </c>
      <c r="B29" s="6"/>
      <c r="C29" s="5"/>
      <c r="D29" s="5"/>
      <c r="E29" s="5"/>
      <c r="F29" s="5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6"/>
      <c r="S29" s="8" t="str">
        <f t="shared" ca="1" si="1"/>
        <v/>
      </c>
      <c r="T29" s="5"/>
      <c r="U29" s="5"/>
    </row>
    <row r="30" spans="1:21">
      <c r="A30" s="5" t="str">
        <f t="shared" si="0"/>
        <v/>
      </c>
      <c r="B30" s="6"/>
      <c r="C30" s="5"/>
      <c r="D30" s="5"/>
      <c r="E30" s="5"/>
      <c r="F30" s="5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6"/>
      <c r="S30" s="8" t="str">
        <f t="shared" ca="1" si="1"/>
        <v/>
      </c>
      <c r="T30" s="5"/>
      <c r="U30" s="5"/>
    </row>
    <row r="31" spans="1:21">
      <c r="A31" s="5" t="str">
        <f t="shared" si="0"/>
        <v/>
      </c>
      <c r="B31" s="6"/>
      <c r="C31" s="5"/>
      <c r="D31" s="5"/>
      <c r="E31" s="5"/>
      <c r="F31" s="5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6"/>
      <c r="S31" s="8" t="str">
        <f t="shared" ca="1" si="1"/>
        <v/>
      </c>
      <c r="T31" s="5"/>
      <c r="U31" s="5"/>
    </row>
    <row r="32" spans="1:21">
      <c r="A32" s="5" t="str">
        <f t="shared" si="0"/>
        <v/>
      </c>
      <c r="B32" s="6"/>
      <c r="C32" s="5"/>
      <c r="D32" s="5"/>
      <c r="E32" s="5"/>
      <c r="F32" s="5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6"/>
      <c r="S32" s="8" t="str">
        <f t="shared" ca="1" si="1"/>
        <v/>
      </c>
      <c r="T32" s="5"/>
      <c r="U32" s="5"/>
    </row>
    <row r="33" spans="1:21">
      <c r="A33" s="5" t="str">
        <f t="shared" si="0"/>
        <v/>
      </c>
      <c r="B33" s="6"/>
      <c r="C33" s="5"/>
      <c r="D33" s="5"/>
      <c r="E33" s="5"/>
      <c r="F33" s="5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6"/>
      <c r="S33" s="8" t="str">
        <f t="shared" ca="1" si="1"/>
        <v/>
      </c>
      <c r="T33" s="5"/>
      <c r="U33" s="5"/>
    </row>
    <row r="34" spans="1:21">
      <c r="A34" s="5" t="str">
        <f t="shared" si="0"/>
        <v/>
      </c>
      <c r="B34" s="6"/>
      <c r="C34" s="5"/>
      <c r="D34" s="5"/>
      <c r="E34" s="5"/>
      <c r="F34" s="5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S34" s="8" t="str">
        <f t="shared" ca="1" si="1"/>
        <v/>
      </c>
      <c r="T34" s="5"/>
      <c r="U34" s="5"/>
    </row>
    <row r="35" spans="1:21">
      <c r="A35" s="5" t="str">
        <f t="shared" si="0"/>
        <v/>
      </c>
      <c r="B35" s="6"/>
      <c r="C35" s="5"/>
      <c r="D35" s="5"/>
      <c r="E35" s="5"/>
      <c r="F35" s="5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6"/>
      <c r="S35" s="8" t="str">
        <f t="shared" ca="1" si="1"/>
        <v/>
      </c>
      <c r="T35" s="5"/>
      <c r="U35" s="5"/>
    </row>
    <row r="36" spans="1:21">
      <c r="A36" s="5" t="str">
        <f t="shared" si="0"/>
        <v/>
      </c>
      <c r="B36" s="6"/>
      <c r="C36" s="5"/>
      <c r="D36" s="5"/>
      <c r="E36" s="5"/>
      <c r="F36" s="5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6"/>
      <c r="S36" s="8" t="str">
        <f t="shared" ca="1" si="1"/>
        <v/>
      </c>
      <c r="T36" s="5"/>
      <c r="U36" s="5"/>
    </row>
    <row r="37" spans="1:21">
      <c r="A37" s="5" t="str">
        <f t="shared" si="0"/>
        <v/>
      </c>
      <c r="B37" s="6"/>
      <c r="C37" s="5"/>
      <c r="D37" s="5"/>
      <c r="E37" s="5"/>
      <c r="F37" s="5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  <c r="S37" s="8" t="str">
        <f t="shared" ca="1" si="1"/>
        <v/>
      </c>
      <c r="T37" s="5"/>
      <c r="U37" s="5"/>
    </row>
    <row r="38" spans="1:21">
      <c r="A38" s="5" t="str">
        <f t="shared" si="0"/>
        <v/>
      </c>
      <c r="B38" s="6"/>
      <c r="C38" s="5"/>
      <c r="D38" s="5"/>
      <c r="E38" s="5"/>
      <c r="F38" s="5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6"/>
      <c r="S38" s="8" t="str">
        <f t="shared" ca="1" si="1"/>
        <v/>
      </c>
      <c r="T38" s="5"/>
      <c r="U38" s="5"/>
    </row>
    <row r="39" spans="1:21">
      <c r="A39" s="5" t="str">
        <f t="shared" si="0"/>
        <v/>
      </c>
      <c r="B39" s="6"/>
      <c r="C39" s="5"/>
      <c r="D39" s="5"/>
      <c r="E39" s="5"/>
      <c r="F39" s="5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6"/>
      <c r="S39" s="8" t="str">
        <f t="shared" ca="1" si="1"/>
        <v/>
      </c>
      <c r="T39" s="5"/>
      <c r="U39" s="5"/>
    </row>
    <row r="40" spans="1:21">
      <c r="A40" s="5" t="str">
        <f t="shared" si="0"/>
        <v/>
      </c>
      <c r="B40" s="6"/>
      <c r="C40" s="5"/>
      <c r="D40" s="5"/>
      <c r="E40" s="5"/>
      <c r="F40" s="5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6"/>
      <c r="S40" s="8" t="str">
        <f t="shared" ca="1" si="1"/>
        <v/>
      </c>
      <c r="T40" s="5"/>
      <c r="U40" s="5"/>
    </row>
    <row r="41" spans="1:21">
      <c r="A41" s="5" t="str">
        <f t="shared" si="0"/>
        <v/>
      </c>
      <c r="B41" s="6"/>
      <c r="C41" s="5"/>
      <c r="D41" s="5"/>
      <c r="E41" s="5"/>
      <c r="F41" s="5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6"/>
      <c r="S41" s="8" t="str">
        <f t="shared" ca="1" si="1"/>
        <v/>
      </c>
      <c r="T41" s="5"/>
      <c r="U41" s="5"/>
    </row>
    <row r="42" spans="1:21">
      <c r="A42" s="5" t="str">
        <f t="shared" si="0"/>
        <v/>
      </c>
      <c r="B42" s="6"/>
      <c r="C42" s="5"/>
      <c r="D42" s="5"/>
      <c r="E42" s="5"/>
      <c r="F42" s="5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6"/>
      <c r="S42" s="8" t="str">
        <f t="shared" ca="1" si="1"/>
        <v/>
      </c>
      <c r="T42" s="5"/>
      <c r="U42" s="5"/>
    </row>
    <row r="43" spans="1:21">
      <c r="A43" s="5" t="str">
        <f t="shared" si="0"/>
        <v/>
      </c>
      <c r="B43" s="6"/>
      <c r="C43" s="5"/>
      <c r="D43" s="5"/>
      <c r="E43" s="5"/>
      <c r="F43" s="5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6"/>
      <c r="S43" s="8" t="str">
        <f t="shared" ca="1" si="1"/>
        <v/>
      </c>
      <c r="T43" s="5"/>
      <c r="U43" s="5"/>
    </row>
    <row r="44" spans="1:21">
      <c r="A44" s="5" t="str">
        <f t="shared" si="0"/>
        <v/>
      </c>
      <c r="B44" s="6"/>
      <c r="C44" s="5"/>
      <c r="D44" s="5"/>
      <c r="E44" s="5"/>
      <c r="F44" s="5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6"/>
      <c r="S44" s="8" t="str">
        <f t="shared" ca="1" si="1"/>
        <v/>
      </c>
      <c r="T44" s="5"/>
      <c r="U44" s="5"/>
    </row>
    <row r="45" spans="1:21">
      <c r="A45" s="5" t="str">
        <f t="shared" si="0"/>
        <v/>
      </c>
      <c r="B45" s="6"/>
      <c r="C45" s="5"/>
      <c r="D45" s="5"/>
      <c r="E45" s="5"/>
      <c r="F45" s="5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6"/>
      <c r="S45" s="8" t="str">
        <f t="shared" ca="1" si="1"/>
        <v/>
      </c>
      <c r="T45" s="5"/>
      <c r="U45" s="5"/>
    </row>
    <row r="46" spans="1:21">
      <c r="A46" s="5" t="str">
        <f t="shared" si="0"/>
        <v/>
      </c>
      <c r="B46" s="6"/>
      <c r="C46" s="5"/>
      <c r="D46" s="5"/>
      <c r="E46" s="5"/>
      <c r="F46" s="5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6"/>
      <c r="S46" s="8" t="str">
        <f t="shared" ca="1" si="1"/>
        <v/>
      </c>
      <c r="T46" s="5"/>
      <c r="U46" s="5"/>
    </row>
    <row r="47" spans="1:21">
      <c r="A47" s="5" t="str">
        <f t="shared" si="0"/>
        <v/>
      </c>
      <c r="B47" s="6"/>
      <c r="C47" s="5"/>
      <c r="D47" s="5"/>
      <c r="E47" s="5"/>
      <c r="F47" s="5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6"/>
      <c r="S47" s="8" t="str">
        <f t="shared" ca="1" si="1"/>
        <v/>
      </c>
      <c r="T47" s="5"/>
      <c r="U47" s="5"/>
    </row>
    <row r="48" spans="1:21">
      <c r="A48" s="5" t="str">
        <f t="shared" si="0"/>
        <v/>
      </c>
      <c r="B48" s="6"/>
      <c r="C48" s="5"/>
      <c r="D48" s="5"/>
      <c r="E48" s="5"/>
      <c r="F48" s="5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6"/>
      <c r="S48" s="8" t="str">
        <f t="shared" ca="1" si="1"/>
        <v/>
      </c>
      <c r="T48" s="5"/>
      <c r="U48" s="5"/>
    </row>
    <row r="49" spans="1:21">
      <c r="A49" s="5" t="str">
        <f t="shared" si="0"/>
        <v/>
      </c>
      <c r="B49" s="6"/>
      <c r="C49" s="5"/>
      <c r="D49" s="5"/>
      <c r="E49" s="5"/>
      <c r="F49" s="5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6"/>
      <c r="S49" s="8" t="str">
        <f t="shared" ca="1" si="1"/>
        <v/>
      </c>
      <c r="T49" s="5"/>
      <c r="U49" s="5"/>
    </row>
    <row r="50" spans="1:21">
      <c r="A50" s="5" t="str">
        <f t="shared" si="0"/>
        <v/>
      </c>
      <c r="B50" s="6"/>
      <c r="C50" s="5"/>
      <c r="D50" s="5"/>
      <c r="E50" s="5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6"/>
      <c r="S50" s="8" t="str">
        <f t="shared" ca="1" si="1"/>
        <v/>
      </c>
      <c r="T50" s="5"/>
      <c r="U50" s="5"/>
    </row>
    <row r="51" spans="1:21">
      <c r="A51" s="5" t="str">
        <f t="shared" si="0"/>
        <v/>
      </c>
      <c r="B51" s="6"/>
      <c r="C51" s="5"/>
      <c r="D51" s="5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6"/>
      <c r="S51" s="8" t="str">
        <f t="shared" ca="1" si="1"/>
        <v/>
      </c>
      <c r="T51" s="5"/>
      <c r="U51" s="5"/>
    </row>
    <row r="52" spans="1:21">
      <c r="A52" s="5" t="str">
        <f t="shared" si="0"/>
        <v/>
      </c>
      <c r="B52" s="6"/>
      <c r="C52" s="5"/>
      <c r="D52" s="5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6"/>
      <c r="S52" s="8" t="str">
        <f t="shared" ca="1" si="1"/>
        <v/>
      </c>
      <c r="T52" s="5"/>
      <c r="U52" s="5"/>
    </row>
    <row r="53" spans="1:21">
      <c r="A53" s="5" t="str">
        <f t="shared" si="0"/>
        <v/>
      </c>
      <c r="B53" s="6"/>
      <c r="C53" s="5"/>
      <c r="D53" s="5"/>
      <c r="E53" s="5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6"/>
      <c r="S53" s="8" t="str">
        <f t="shared" ca="1" si="1"/>
        <v/>
      </c>
      <c r="T53" s="5"/>
      <c r="U53" s="5"/>
    </row>
    <row r="54" spans="1:21">
      <c r="A54" s="5" t="str">
        <f t="shared" si="0"/>
        <v/>
      </c>
      <c r="B54" s="6"/>
      <c r="C54" s="5"/>
      <c r="D54" s="5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6"/>
      <c r="S54" s="8" t="str">
        <f t="shared" ca="1" si="1"/>
        <v/>
      </c>
      <c r="T54" s="5"/>
      <c r="U54" s="5"/>
    </row>
    <row r="55" spans="1:21">
      <c r="A55" s="5" t="str">
        <f t="shared" si="0"/>
        <v/>
      </c>
      <c r="B55" s="6"/>
      <c r="C55" s="5"/>
      <c r="D55" s="5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8" t="str">
        <f t="shared" ca="1" si="1"/>
        <v/>
      </c>
      <c r="T55" s="5"/>
      <c r="U55" s="5"/>
    </row>
    <row r="56" spans="1:21">
      <c r="A56" s="5" t="str">
        <f t="shared" si="0"/>
        <v/>
      </c>
      <c r="B56" s="6"/>
      <c r="C56" s="5"/>
      <c r="D56" s="5"/>
      <c r="E56" s="5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6"/>
      <c r="S56" s="8" t="str">
        <f t="shared" ca="1" si="1"/>
        <v/>
      </c>
      <c r="T56" s="5"/>
      <c r="U56" s="5"/>
    </row>
    <row r="57" spans="1:21">
      <c r="A57" s="5" t="str">
        <f t="shared" si="0"/>
        <v/>
      </c>
      <c r="B57" s="6"/>
      <c r="C57" s="5"/>
      <c r="D57" s="5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6"/>
      <c r="S57" s="8" t="str">
        <f t="shared" ca="1" si="1"/>
        <v/>
      </c>
      <c r="T57" s="5"/>
      <c r="U57" s="5"/>
    </row>
    <row r="58" spans="1:21">
      <c r="A58" s="5" t="str">
        <f t="shared" si="0"/>
        <v/>
      </c>
      <c r="B58" s="6"/>
      <c r="C58" s="5"/>
      <c r="D58" s="5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6"/>
      <c r="S58" s="8" t="str">
        <f t="shared" ca="1" si="1"/>
        <v/>
      </c>
      <c r="T58" s="5"/>
      <c r="U58" s="5"/>
    </row>
    <row r="59" spans="1:21">
      <c r="A59" s="5" t="str">
        <f t="shared" si="0"/>
        <v/>
      </c>
      <c r="B59" s="6"/>
      <c r="C59" s="5"/>
      <c r="D59" s="5"/>
      <c r="E59" s="5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6"/>
      <c r="S59" s="8" t="str">
        <f t="shared" ca="1" si="1"/>
        <v/>
      </c>
      <c r="T59" s="5"/>
      <c r="U59" s="5"/>
    </row>
    <row r="60" spans="1:21">
      <c r="A60" s="5" t="str">
        <f t="shared" si="0"/>
        <v/>
      </c>
      <c r="B60" s="6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6"/>
      <c r="S60" s="8" t="str">
        <f t="shared" ca="1" si="1"/>
        <v/>
      </c>
      <c r="T60" s="5"/>
      <c r="U60" s="5"/>
    </row>
    <row r="61" spans="1:21">
      <c r="A61" s="5" t="str">
        <f t="shared" si="0"/>
        <v/>
      </c>
      <c r="B61" s="6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6"/>
      <c r="S61" s="8" t="str">
        <f t="shared" ca="1" si="1"/>
        <v/>
      </c>
      <c r="T61" s="5"/>
      <c r="U61" s="5"/>
    </row>
    <row r="62" spans="1:21">
      <c r="A62" s="5" t="str">
        <f t="shared" si="0"/>
        <v/>
      </c>
      <c r="B62" s="6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6"/>
      <c r="S62" s="8" t="str">
        <f t="shared" ca="1" si="1"/>
        <v/>
      </c>
      <c r="T62" s="5"/>
      <c r="U62" s="5"/>
    </row>
    <row r="63" spans="1:21">
      <c r="A63" s="5" t="str">
        <f t="shared" si="0"/>
        <v/>
      </c>
      <c r="B63" s="6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6"/>
      <c r="S63" s="8" t="str">
        <f t="shared" ca="1" si="1"/>
        <v/>
      </c>
      <c r="T63" s="5"/>
      <c r="U63" s="5"/>
    </row>
    <row r="64" spans="1:21">
      <c r="A64" s="5" t="str">
        <f t="shared" si="0"/>
        <v/>
      </c>
      <c r="B64" s="6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6"/>
      <c r="S64" s="8" t="str">
        <f t="shared" ca="1" si="1"/>
        <v/>
      </c>
      <c r="T64" s="5"/>
      <c r="U64" s="5"/>
    </row>
    <row r="65" spans="1:21">
      <c r="A65" s="5" t="str">
        <f t="shared" si="0"/>
        <v/>
      </c>
      <c r="B65" s="6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6"/>
      <c r="S65" s="8" t="str">
        <f t="shared" ca="1" si="1"/>
        <v/>
      </c>
      <c r="T65" s="5"/>
      <c r="U65" s="5"/>
    </row>
    <row r="66" spans="1:21">
      <c r="A66" s="5" t="str">
        <f t="shared" ref="A66:A129" si="2">IF(C66&lt;&gt;"","VAC-"&amp;TEXT(ROW()-1,"0000"),"")</f>
        <v/>
      </c>
      <c r="B66" s="6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6"/>
      <c r="S66" s="8" t="str">
        <f t="shared" ref="S66:S129" ca="1" si="3">IF(B66="","",IF(R66&lt;&gt;"",R66-B66,TODAY()-B66))</f>
        <v/>
      </c>
      <c r="T66" s="5"/>
      <c r="U66" s="5"/>
    </row>
    <row r="67" spans="1:21">
      <c r="A67" s="5" t="str">
        <f t="shared" si="2"/>
        <v/>
      </c>
      <c r="B67" s="6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6"/>
      <c r="S67" s="8" t="str">
        <f t="shared" ca="1" si="3"/>
        <v/>
      </c>
      <c r="T67" s="5"/>
      <c r="U67" s="5"/>
    </row>
    <row r="68" spans="1:21">
      <c r="A68" s="5" t="str">
        <f t="shared" si="2"/>
        <v/>
      </c>
      <c r="B68" s="6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6"/>
      <c r="S68" s="8" t="str">
        <f t="shared" ca="1" si="3"/>
        <v/>
      </c>
      <c r="T68" s="5"/>
      <c r="U68" s="5"/>
    </row>
    <row r="69" spans="1:21">
      <c r="A69" s="5" t="str">
        <f t="shared" si="2"/>
        <v/>
      </c>
      <c r="B69" s="6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6"/>
      <c r="S69" s="8" t="str">
        <f t="shared" ca="1" si="3"/>
        <v/>
      </c>
      <c r="T69" s="5"/>
      <c r="U69" s="5"/>
    </row>
    <row r="70" spans="1:21">
      <c r="A70" s="5" t="str">
        <f t="shared" si="2"/>
        <v/>
      </c>
      <c r="B70" s="6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6"/>
      <c r="S70" s="8" t="str">
        <f t="shared" ca="1" si="3"/>
        <v/>
      </c>
      <c r="T70" s="5"/>
      <c r="U70" s="5"/>
    </row>
    <row r="71" spans="1:21">
      <c r="A71" s="5" t="str">
        <f t="shared" si="2"/>
        <v/>
      </c>
      <c r="B71" s="6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6"/>
      <c r="S71" s="8" t="str">
        <f t="shared" ca="1" si="3"/>
        <v/>
      </c>
      <c r="T71" s="5"/>
      <c r="U71" s="5"/>
    </row>
    <row r="72" spans="1:21">
      <c r="A72" s="5" t="str">
        <f t="shared" si="2"/>
        <v/>
      </c>
      <c r="B72" s="6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6"/>
      <c r="S72" s="8" t="str">
        <f t="shared" ca="1" si="3"/>
        <v/>
      </c>
      <c r="T72" s="5"/>
      <c r="U72" s="5"/>
    </row>
    <row r="73" spans="1:21">
      <c r="A73" s="5" t="str">
        <f t="shared" si="2"/>
        <v/>
      </c>
      <c r="B73" s="6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6"/>
      <c r="S73" s="8" t="str">
        <f t="shared" ca="1" si="3"/>
        <v/>
      </c>
      <c r="T73" s="5"/>
      <c r="U73" s="5"/>
    </row>
    <row r="74" spans="1:21">
      <c r="A74" s="5" t="str">
        <f t="shared" si="2"/>
        <v/>
      </c>
      <c r="B74" s="6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6"/>
      <c r="S74" s="8" t="str">
        <f t="shared" ca="1" si="3"/>
        <v/>
      </c>
      <c r="T74" s="5"/>
      <c r="U74" s="5"/>
    </row>
    <row r="75" spans="1:21">
      <c r="A75" s="5" t="str">
        <f t="shared" si="2"/>
        <v/>
      </c>
      <c r="B75" s="6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6"/>
      <c r="S75" s="8" t="str">
        <f t="shared" ca="1" si="3"/>
        <v/>
      </c>
      <c r="T75" s="5"/>
      <c r="U75" s="5"/>
    </row>
    <row r="76" spans="1:21">
      <c r="A76" s="5" t="str">
        <f t="shared" si="2"/>
        <v/>
      </c>
      <c r="B76" s="6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6"/>
      <c r="S76" s="8" t="str">
        <f t="shared" ca="1" si="3"/>
        <v/>
      </c>
      <c r="T76" s="5"/>
      <c r="U76" s="5"/>
    </row>
    <row r="77" spans="1:21">
      <c r="A77" s="5" t="str">
        <f t="shared" si="2"/>
        <v/>
      </c>
      <c r="B77" s="6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6"/>
      <c r="S77" s="8" t="str">
        <f t="shared" ca="1" si="3"/>
        <v/>
      </c>
      <c r="T77" s="5"/>
      <c r="U77" s="5"/>
    </row>
    <row r="78" spans="1:21">
      <c r="A78" s="5" t="str">
        <f t="shared" si="2"/>
        <v/>
      </c>
      <c r="B78" s="6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6"/>
      <c r="S78" s="8" t="str">
        <f t="shared" ca="1" si="3"/>
        <v/>
      </c>
      <c r="T78" s="5"/>
      <c r="U78" s="5"/>
    </row>
    <row r="79" spans="1:21">
      <c r="A79" s="5" t="str">
        <f t="shared" si="2"/>
        <v/>
      </c>
      <c r="B79" s="6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6"/>
      <c r="S79" s="8" t="str">
        <f t="shared" ca="1" si="3"/>
        <v/>
      </c>
      <c r="T79" s="5"/>
      <c r="U79" s="5"/>
    </row>
    <row r="80" spans="1:21">
      <c r="A80" s="5" t="str">
        <f t="shared" si="2"/>
        <v/>
      </c>
      <c r="B80" s="6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6"/>
      <c r="S80" s="8" t="str">
        <f t="shared" ca="1" si="3"/>
        <v/>
      </c>
      <c r="T80" s="5"/>
      <c r="U80" s="5"/>
    </row>
    <row r="81" spans="1:21">
      <c r="A81" s="5" t="str">
        <f t="shared" si="2"/>
        <v/>
      </c>
      <c r="B81" s="6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6"/>
      <c r="S81" s="8" t="str">
        <f t="shared" ca="1" si="3"/>
        <v/>
      </c>
      <c r="T81" s="5"/>
      <c r="U81" s="5"/>
    </row>
    <row r="82" spans="1:21">
      <c r="A82" s="5" t="str">
        <f t="shared" si="2"/>
        <v/>
      </c>
      <c r="B82" s="6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6"/>
      <c r="S82" s="8" t="str">
        <f t="shared" ca="1" si="3"/>
        <v/>
      </c>
      <c r="T82" s="5"/>
      <c r="U82" s="5"/>
    </row>
    <row r="83" spans="1:21">
      <c r="A83" s="5" t="str">
        <f t="shared" si="2"/>
        <v/>
      </c>
      <c r="B83" s="6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6"/>
      <c r="S83" s="8" t="str">
        <f t="shared" ca="1" si="3"/>
        <v/>
      </c>
      <c r="T83" s="5"/>
      <c r="U83" s="5"/>
    </row>
    <row r="84" spans="1:21">
      <c r="A84" s="5" t="str">
        <f t="shared" si="2"/>
        <v/>
      </c>
      <c r="B84" s="6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6"/>
      <c r="S84" s="8" t="str">
        <f t="shared" ca="1" si="3"/>
        <v/>
      </c>
      <c r="T84" s="5"/>
      <c r="U84" s="5"/>
    </row>
    <row r="85" spans="1:21">
      <c r="A85" s="5" t="str">
        <f t="shared" si="2"/>
        <v/>
      </c>
      <c r="B85" s="6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6"/>
      <c r="S85" s="8" t="str">
        <f t="shared" ca="1" si="3"/>
        <v/>
      </c>
      <c r="T85" s="5"/>
      <c r="U85" s="5"/>
    </row>
    <row r="86" spans="1:21">
      <c r="A86" s="5" t="str">
        <f t="shared" si="2"/>
        <v/>
      </c>
      <c r="B86" s="6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6"/>
      <c r="S86" s="8" t="str">
        <f t="shared" ca="1" si="3"/>
        <v/>
      </c>
      <c r="T86" s="5"/>
      <c r="U86" s="5"/>
    </row>
    <row r="87" spans="1:21">
      <c r="A87" s="5" t="str">
        <f t="shared" si="2"/>
        <v/>
      </c>
      <c r="B87" s="6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6"/>
      <c r="S87" s="8" t="str">
        <f t="shared" ca="1" si="3"/>
        <v/>
      </c>
      <c r="T87" s="5"/>
      <c r="U87" s="5"/>
    </row>
    <row r="88" spans="1:21">
      <c r="A88" s="5" t="str">
        <f t="shared" si="2"/>
        <v/>
      </c>
      <c r="B88" s="6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6"/>
      <c r="S88" s="8" t="str">
        <f t="shared" ca="1" si="3"/>
        <v/>
      </c>
      <c r="T88" s="5"/>
      <c r="U88" s="5"/>
    </row>
    <row r="89" spans="1:21">
      <c r="A89" s="5" t="str">
        <f t="shared" si="2"/>
        <v/>
      </c>
      <c r="B89" s="6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6"/>
      <c r="S89" s="8" t="str">
        <f t="shared" ca="1" si="3"/>
        <v/>
      </c>
      <c r="T89" s="5"/>
      <c r="U89" s="5"/>
    </row>
    <row r="90" spans="1:21">
      <c r="A90" s="5" t="str">
        <f t="shared" si="2"/>
        <v/>
      </c>
      <c r="B90" s="6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6"/>
      <c r="S90" s="8" t="str">
        <f t="shared" ca="1" si="3"/>
        <v/>
      </c>
      <c r="T90" s="5"/>
      <c r="U90" s="5"/>
    </row>
    <row r="91" spans="1:21">
      <c r="A91" s="5" t="str">
        <f t="shared" si="2"/>
        <v/>
      </c>
      <c r="B91" s="6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6"/>
      <c r="S91" s="8" t="str">
        <f t="shared" ca="1" si="3"/>
        <v/>
      </c>
      <c r="T91" s="5"/>
      <c r="U91" s="5"/>
    </row>
    <row r="92" spans="1:21">
      <c r="A92" s="5" t="str">
        <f t="shared" si="2"/>
        <v/>
      </c>
      <c r="B92" s="6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6"/>
      <c r="S92" s="8" t="str">
        <f t="shared" ca="1" si="3"/>
        <v/>
      </c>
      <c r="T92" s="5"/>
      <c r="U92" s="5"/>
    </row>
    <row r="93" spans="1:21">
      <c r="A93" s="5" t="str">
        <f t="shared" si="2"/>
        <v/>
      </c>
      <c r="B93" s="6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6"/>
      <c r="S93" s="8" t="str">
        <f t="shared" ca="1" si="3"/>
        <v/>
      </c>
      <c r="T93" s="5"/>
      <c r="U93" s="5"/>
    </row>
    <row r="94" spans="1:21">
      <c r="A94" s="5" t="str">
        <f t="shared" si="2"/>
        <v/>
      </c>
      <c r="B94" s="6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8" t="str">
        <f t="shared" ca="1" si="3"/>
        <v/>
      </c>
      <c r="T94" s="5"/>
      <c r="U94" s="5"/>
    </row>
    <row r="95" spans="1:21">
      <c r="A95" s="5" t="str">
        <f t="shared" si="2"/>
        <v/>
      </c>
      <c r="B95" s="6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6"/>
      <c r="S95" s="8" t="str">
        <f t="shared" ca="1" si="3"/>
        <v/>
      </c>
      <c r="T95" s="5"/>
      <c r="U95" s="5"/>
    </row>
    <row r="96" spans="1:21">
      <c r="A96" s="5" t="str">
        <f t="shared" si="2"/>
        <v/>
      </c>
      <c r="B96" s="6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6"/>
      <c r="S96" s="8" t="str">
        <f t="shared" ca="1" si="3"/>
        <v/>
      </c>
      <c r="T96" s="5"/>
      <c r="U96" s="5"/>
    </row>
    <row r="97" spans="1:21">
      <c r="A97" s="5" t="str">
        <f t="shared" si="2"/>
        <v/>
      </c>
      <c r="B97" s="6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6"/>
      <c r="S97" s="8" t="str">
        <f t="shared" ca="1" si="3"/>
        <v/>
      </c>
      <c r="T97" s="5"/>
      <c r="U97" s="5"/>
    </row>
    <row r="98" spans="1:21">
      <c r="A98" s="5" t="str">
        <f t="shared" si="2"/>
        <v/>
      </c>
      <c r="B98" s="6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6"/>
      <c r="S98" s="8" t="str">
        <f t="shared" ca="1" si="3"/>
        <v/>
      </c>
      <c r="T98" s="5"/>
      <c r="U98" s="5"/>
    </row>
    <row r="99" spans="1:21">
      <c r="A99" s="5" t="str">
        <f t="shared" si="2"/>
        <v/>
      </c>
      <c r="B99" s="6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6"/>
      <c r="S99" s="8" t="str">
        <f t="shared" ca="1" si="3"/>
        <v/>
      </c>
      <c r="T99" s="5"/>
      <c r="U99" s="5"/>
    </row>
    <row r="100" spans="1:21">
      <c r="A100" s="5" t="str">
        <f t="shared" si="2"/>
        <v/>
      </c>
      <c r="B100" s="6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"/>
      <c r="S100" s="8" t="str">
        <f t="shared" ca="1" si="3"/>
        <v/>
      </c>
      <c r="T100" s="5"/>
      <c r="U100" s="5"/>
    </row>
    <row r="101" spans="1:21">
      <c r="A101" s="5" t="str">
        <f t="shared" si="2"/>
        <v/>
      </c>
      <c r="B101" s="6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"/>
      <c r="S101" s="8" t="str">
        <f t="shared" ca="1" si="3"/>
        <v/>
      </c>
      <c r="T101" s="5"/>
      <c r="U101" s="5"/>
    </row>
    <row r="102" spans="1:21">
      <c r="A102" s="5" t="str">
        <f t="shared" si="2"/>
        <v/>
      </c>
      <c r="B102" s="6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"/>
      <c r="S102" s="8" t="str">
        <f t="shared" ca="1" si="3"/>
        <v/>
      </c>
      <c r="T102" s="5"/>
      <c r="U102" s="5"/>
    </row>
    <row r="103" spans="1:21">
      <c r="A103" s="5" t="str">
        <f t="shared" si="2"/>
        <v/>
      </c>
      <c r="B103" s="6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"/>
      <c r="S103" s="8" t="str">
        <f t="shared" ca="1" si="3"/>
        <v/>
      </c>
      <c r="T103" s="5"/>
      <c r="U103" s="5"/>
    </row>
    <row r="104" spans="1:21">
      <c r="A104" s="5" t="str">
        <f t="shared" si="2"/>
        <v/>
      </c>
      <c r="B104" s="6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"/>
      <c r="S104" s="8" t="str">
        <f t="shared" ca="1" si="3"/>
        <v/>
      </c>
      <c r="T104" s="5"/>
      <c r="U104" s="5"/>
    </row>
    <row r="105" spans="1:21">
      <c r="A105" s="5" t="str">
        <f t="shared" si="2"/>
        <v/>
      </c>
      <c r="B105" s="6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"/>
      <c r="S105" s="8" t="str">
        <f t="shared" ca="1" si="3"/>
        <v/>
      </c>
      <c r="T105" s="5"/>
      <c r="U105" s="5"/>
    </row>
    <row r="106" spans="1:21">
      <c r="A106" s="5" t="str">
        <f t="shared" si="2"/>
        <v/>
      </c>
      <c r="B106" s="6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"/>
      <c r="S106" s="8" t="str">
        <f t="shared" ca="1" si="3"/>
        <v/>
      </c>
      <c r="T106" s="5"/>
      <c r="U106" s="5"/>
    </row>
    <row r="107" spans="1:21">
      <c r="A107" s="5" t="str">
        <f t="shared" si="2"/>
        <v/>
      </c>
      <c r="B107" s="6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"/>
      <c r="S107" s="8" t="str">
        <f t="shared" ca="1" si="3"/>
        <v/>
      </c>
      <c r="T107" s="5"/>
      <c r="U107" s="5"/>
    </row>
    <row r="108" spans="1:21">
      <c r="A108" s="5" t="str">
        <f t="shared" si="2"/>
        <v/>
      </c>
      <c r="B108" s="6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"/>
      <c r="S108" s="8" t="str">
        <f t="shared" ca="1" si="3"/>
        <v/>
      </c>
      <c r="T108" s="5"/>
      <c r="U108" s="5"/>
    </row>
    <row r="109" spans="1:21">
      <c r="A109" s="5" t="str">
        <f t="shared" si="2"/>
        <v/>
      </c>
      <c r="B109" s="6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"/>
      <c r="S109" s="8" t="str">
        <f t="shared" ca="1" si="3"/>
        <v/>
      </c>
      <c r="T109" s="5"/>
      <c r="U109" s="5"/>
    </row>
    <row r="110" spans="1:21">
      <c r="A110" s="5" t="str">
        <f t="shared" si="2"/>
        <v/>
      </c>
      <c r="B110" s="6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"/>
      <c r="S110" s="8" t="str">
        <f t="shared" ca="1" si="3"/>
        <v/>
      </c>
      <c r="T110" s="5"/>
      <c r="U110" s="5"/>
    </row>
    <row r="111" spans="1:21">
      <c r="A111" s="5" t="str">
        <f t="shared" si="2"/>
        <v/>
      </c>
      <c r="B111" s="6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/>
      <c r="S111" s="8" t="str">
        <f t="shared" ca="1" si="3"/>
        <v/>
      </c>
      <c r="T111" s="5"/>
      <c r="U111" s="5"/>
    </row>
    <row r="112" spans="1:21">
      <c r="A112" s="5" t="str">
        <f t="shared" si="2"/>
        <v/>
      </c>
      <c r="B112" s="6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"/>
      <c r="S112" s="8" t="str">
        <f t="shared" ca="1" si="3"/>
        <v/>
      </c>
      <c r="T112" s="5"/>
      <c r="U112" s="5"/>
    </row>
    <row r="113" spans="1:21">
      <c r="A113" s="5" t="str">
        <f t="shared" si="2"/>
        <v/>
      </c>
      <c r="B113" s="6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"/>
      <c r="S113" s="8" t="str">
        <f t="shared" ca="1" si="3"/>
        <v/>
      </c>
      <c r="T113" s="5"/>
      <c r="U113" s="5"/>
    </row>
    <row r="114" spans="1:21">
      <c r="A114" s="5" t="str">
        <f t="shared" si="2"/>
        <v/>
      </c>
      <c r="B114" s="6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"/>
      <c r="S114" s="8" t="str">
        <f t="shared" ca="1" si="3"/>
        <v/>
      </c>
      <c r="T114" s="5"/>
      <c r="U114" s="5"/>
    </row>
    <row r="115" spans="1:21">
      <c r="A115" s="5" t="str">
        <f t="shared" si="2"/>
        <v/>
      </c>
      <c r="B115" s="6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"/>
      <c r="S115" s="8" t="str">
        <f t="shared" ca="1" si="3"/>
        <v/>
      </c>
      <c r="T115" s="5"/>
      <c r="U115" s="5"/>
    </row>
    <row r="116" spans="1:21">
      <c r="A116" s="5" t="str">
        <f t="shared" si="2"/>
        <v/>
      </c>
      <c r="B116" s="6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"/>
      <c r="S116" s="8" t="str">
        <f t="shared" ca="1" si="3"/>
        <v/>
      </c>
      <c r="T116" s="5"/>
      <c r="U116" s="5"/>
    </row>
    <row r="117" spans="1:21">
      <c r="A117" s="5" t="str">
        <f t="shared" si="2"/>
        <v/>
      </c>
      <c r="B117" s="6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"/>
      <c r="S117" s="8" t="str">
        <f t="shared" ca="1" si="3"/>
        <v/>
      </c>
      <c r="T117" s="5"/>
      <c r="U117" s="5"/>
    </row>
    <row r="118" spans="1:21">
      <c r="A118" s="5" t="str">
        <f t="shared" si="2"/>
        <v/>
      </c>
      <c r="B118" s="6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"/>
      <c r="S118" s="8" t="str">
        <f t="shared" ca="1" si="3"/>
        <v/>
      </c>
      <c r="T118" s="5"/>
      <c r="U118" s="5"/>
    </row>
    <row r="119" spans="1:21">
      <c r="A119" s="5" t="str">
        <f t="shared" si="2"/>
        <v/>
      </c>
      <c r="B119" s="6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"/>
      <c r="S119" s="8" t="str">
        <f t="shared" ca="1" si="3"/>
        <v/>
      </c>
      <c r="T119" s="5"/>
      <c r="U119" s="5"/>
    </row>
    <row r="120" spans="1:21">
      <c r="A120" s="5" t="str">
        <f t="shared" si="2"/>
        <v/>
      </c>
      <c r="B120" s="6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"/>
      <c r="S120" s="8" t="str">
        <f t="shared" ca="1" si="3"/>
        <v/>
      </c>
      <c r="T120" s="5"/>
      <c r="U120" s="5"/>
    </row>
    <row r="121" spans="1:21">
      <c r="A121" s="5" t="str">
        <f t="shared" si="2"/>
        <v/>
      </c>
      <c r="B121" s="6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"/>
      <c r="S121" s="8" t="str">
        <f t="shared" ca="1" si="3"/>
        <v/>
      </c>
      <c r="T121" s="5"/>
      <c r="U121" s="5"/>
    </row>
    <row r="122" spans="1:21">
      <c r="A122" s="5" t="str">
        <f t="shared" si="2"/>
        <v/>
      </c>
      <c r="B122" s="6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"/>
      <c r="S122" s="8" t="str">
        <f t="shared" ca="1" si="3"/>
        <v/>
      </c>
      <c r="T122" s="5"/>
      <c r="U122" s="5"/>
    </row>
    <row r="123" spans="1:21">
      <c r="A123" s="5" t="str">
        <f t="shared" si="2"/>
        <v/>
      </c>
      <c r="B123" s="6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"/>
      <c r="S123" s="8" t="str">
        <f t="shared" ca="1" si="3"/>
        <v/>
      </c>
      <c r="T123" s="5"/>
      <c r="U123" s="5"/>
    </row>
    <row r="124" spans="1:21">
      <c r="A124" s="5" t="str">
        <f t="shared" si="2"/>
        <v/>
      </c>
      <c r="B124" s="6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"/>
      <c r="S124" s="8" t="str">
        <f t="shared" ca="1" si="3"/>
        <v/>
      </c>
      <c r="T124" s="5"/>
      <c r="U124" s="5"/>
    </row>
    <row r="125" spans="1:21">
      <c r="A125" s="5" t="str">
        <f t="shared" si="2"/>
        <v/>
      </c>
      <c r="B125" s="6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"/>
      <c r="S125" s="8" t="str">
        <f t="shared" ca="1" si="3"/>
        <v/>
      </c>
      <c r="T125" s="5"/>
      <c r="U125" s="5"/>
    </row>
    <row r="126" spans="1:21">
      <c r="A126" s="5" t="str">
        <f t="shared" si="2"/>
        <v/>
      </c>
      <c r="B126" s="6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"/>
      <c r="S126" s="8" t="str">
        <f t="shared" ca="1" si="3"/>
        <v/>
      </c>
      <c r="T126" s="5"/>
      <c r="U126" s="5"/>
    </row>
    <row r="127" spans="1:21">
      <c r="A127" s="5" t="str">
        <f t="shared" si="2"/>
        <v/>
      </c>
      <c r="B127" s="6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"/>
      <c r="S127" s="8" t="str">
        <f t="shared" ca="1" si="3"/>
        <v/>
      </c>
      <c r="T127" s="5"/>
      <c r="U127" s="5"/>
    </row>
    <row r="128" spans="1:21">
      <c r="A128" s="5" t="str">
        <f t="shared" si="2"/>
        <v/>
      </c>
      <c r="B128" s="6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"/>
      <c r="S128" s="8" t="str">
        <f t="shared" ca="1" si="3"/>
        <v/>
      </c>
      <c r="T128" s="5"/>
      <c r="U128" s="5"/>
    </row>
    <row r="129" spans="1:21">
      <c r="A129" s="5" t="str">
        <f t="shared" si="2"/>
        <v/>
      </c>
      <c r="B129" s="6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"/>
      <c r="S129" s="8" t="str">
        <f t="shared" ca="1" si="3"/>
        <v/>
      </c>
      <c r="T129" s="5"/>
      <c r="U129" s="5"/>
    </row>
    <row r="130" spans="1:21">
      <c r="A130" s="5" t="str">
        <f t="shared" ref="A130:A193" si="4">IF(C130&lt;&gt;"","VAC-"&amp;TEXT(ROW()-1,"0000"),"")</f>
        <v/>
      </c>
      <c r="B130" s="6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"/>
      <c r="S130" s="8" t="str">
        <f t="shared" ref="S130:S193" ca="1" si="5">IF(B130="","",IF(R130&lt;&gt;"",R130-B130,TODAY()-B130))</f>
        <v/>
      </c>
      <c r="T130" s="5"/>
      <c r="U130" s="5"/>
    </row>
    <row r="131" spans="1:21">
      <c r="A131" s="5" t="str">
        <f t="shared" si="4"/>
        <v/>
      </c>
      <c r="B131" s="6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"/>
      <c r="S131" s="8" t="str">
        <f t="shared" ca="1" si="5"/>
        <v/>
      </c>
      <c r="T131" s="5"/>
      <c r="U131" s="5"/>
    </row>
    <row r="132" spans="1:21">
      <c r="A132" s="5" t="str">
        <f t="shared" si="4"/>
        <v/>
      </c>
      <c r="B132" s="6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"/>
      <c r="S132" s="8" t="str">
        <f t="shared" ca="1" si="5"/>
        <v/>
      </c>
      <c r="T132" s="5"/>
      <c r="U132" s="5"/>
    </row>
    <row r="133" spans="1:21">
      <c r="A133" s="5" t="str">
        <f t="shared" si="4"/>
        <v/>
      </c>
      <c r="B133" s="6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8" t="str">
        <f t="shared" ca="1" si="5"/>
        <v/>
      </c>
      <c r="T133" s="5"/>
      <c r="U133" s="5"/>
    </row>
    <row r="134" spans="1:21">
      <c r="A134" s="5" t="str">
        <f t="shared" si="4"/>
        <v/>
      </c>
      <c r="B134" s="6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"/>
      <c r="S134" s="8" t="str">
        <f t="shared" ca="1" si="5"/>
        <v/>
      </c>
      <c r="T134" s="5"/>
      <c r="U134" s="5"/>
    </row>
    <row r="135" spans="1:21">
      <c r="A135" s="5" t="str">
        <f t="shared" si="4"/>
        <v/>
      </c>
      <c r="B135" s="6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"/>
      <c r="S135" s="8" t="str">
        <f t="shared" ca="1" si="5"/>
        <v/>
      </c>
      <c r="T135" s="5"/>
      <c r="U135" s="5"/>
    </row>
    <row r="136" spans="1:21">
      <c r="A136" s="5" t="str">
        <f t="shared" si="4"/>
        <v/>
      </c>
      <c r="B136" s="6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"/>
      <c r="S136" s="8" t="str">
        <f t="shared" ca="1" si="5"/>
        <v/>
      </c>
      <c r="T136" s="5"/>
      <c r="U136" s="5"/>
    </row>
    <row r="137" spans="1:21">
      <c r="A137" s="5" t="str">
        <f t="shared" si="4"/>
        <v/>
      </c>
      <c r="B137" s="6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"/>
      <c r="S137" s="8" t="str">
        <f t="shared" ca="1" si="5"/>
        <v/>
      </c>
      <c r="T137" s="5"/>
      <c r="U137" s="5"/>
    </row>
    <row r="138" spans="1:21">
      <c r="A138" s="5" t="str">
        <f t="shared" si="4"/>
        <v/>
      </c>
      <c r="B138" s="6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"/>
      <c r="S138" s="8" t="str">
        <f t="shared" ca="1" si="5"/>
        <v/>
      </c>
      <c r="T138" s="5"/>
      <c r="U138" s="5"/>
    </row>
    <row r="139" spans="1:21">
      <c r="A139" s="5" t="str">
        <f t="shared" si="4"/>
        <v/>
      </c>
      <c r="B139" s="6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"/>
      <c r="S139" s="8" t="str">
        <f t="shared" ca="1" si="5"/>
        <v/>
      </c>
      <c r="T139" s="5"/>
      <c r="U139" s="5"/>
    </row>
    <row r="140" spans="1:21">
      <c r="A140" s="5" t="str">
        <f t="shared" si="4"/>
        <v/>
      </c>
      <c r="B140" s="6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"/>
      <c r="S140" s="8" t="str">
        <f t="shared" ca="1" si="5"/>
        <v/>
      </c>
      <c r="T140" s="5"/>
      <c r="U140" s="5"/>
    </row>
    <row r="141" spans="1:21">
      <c r="A141" s="5" t="str">
        <f t="shared" si="4"/>
        <v/>
      </c>
      <c r="B141" s="6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"/>
      <c r="S141" s="8" t="str">
        <f t="shared" ca="1" si="5"/>
        <v/>
      </c>
      <c r="T141" s="5"/>
      <c r="U141" s="5"/>
    </row>
    <row r="142" spans="1:21">
      <c r="A142" s="5" t="str">
        <f t="shared" si="4"/>
        <v/>
      </c>
      <c r="B142" s="6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"/>
      <c r="S142" s="8" t="str">
        <f t="shared" ca="1" si="5"/>
        <v/>
      </c>
      <c r="T142" s="5"/>
      <c r="U142" s="5"/>
    </row>
    <row r="143" spans="1:21">
      <c r="A143" s="5" t="str">
        <f t="shared" si="4"/>
        <v/>
      </c>
      <c r="B143" s="6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"/>
      <c r="S143" s="8" t="str">
        <f t="shared" ca="1" si="5"/>
        <v/>
      </c>
      <c r="T143" s="5"/>
      <c r="U143" s="5"/>
    </row>
    <row r="144" spans="1:21">
      <c r="A144" s="5" t="str">
        <f t="shared" si="4"/>
        <v/>
      </c>
      <c r="B144" s="6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"/>
      <c r="S144" s="8" t="str">
        <f t="shared" ca="1" si="5"/>
        <v/>
      </c>
      <c r="T144" s="5"/>
      <c r="U144" s="5"/>
    </row>
    <row r="145" spans="1:21">
      <c r="A145" s="5" t="str">
        <f t="shared" si="4"/>
        <v/>
      </c>
      <c r="B145" s="6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"/>
      <c r="S145" s="8" t="str">
        <f t="shared" ca="1" si="5"/>
        <v/>
      </c>
      <c r="T145" s="5"/>
      <c r="U145" s="5"/>
    </row>
    <row r="146" spans="1:21">
      <c r="A146" s="5" t="str">
        <f t="shared" si="4"/>
        <v/>
      </c>
      <c r="B146" s="6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"/>
      <c r="S146" s="8" t="str">
        <f t="shared" ca="1" si="5"/>
        <v/>
      </c>
      <c r="T146" s="5"/>
      <c r="U146" s="5"/>
    </row>
    <row r="147" spans="1:21">
      <c r="A147" s="5" t="str">
        <f t="shared" si="4"/>
        <v/>
      </c>
      <c r="B147" s="6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"/>
      <c r="S147" s="8" t="str">
        <f t="shared" ca="1" si="5"/>
        <v/>
      </c>
      <c r="T147" s="5"/>
      <c r="U147" s="5"/>
    </row>
    <row r="148" spans="1:21">
      <c r="A148" s="5" t="str">
        <f t="shared" si="4"/>
        <v/>
      </c>
      <c r="B148" s="6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"/>
      <c r="S148" s="8" t="str">
        <f t="shared" ca="1" si="5"/>
        <v/>
      </c>
      <c r="T148" s="5"/>
      <c r="U148" s="5"/>
    </row>
    <row r="149" spans="1:21">
      <c r="A149" s="5" t="str">
        <f t="shared" si="4"/>
        <v/>
      </c>
      <c r="B149" s="6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"/>
      <c r="S149" s="8" t="str">
        <f t="shared" ca="1" si="5"/>
        <v/>
      </c>
      <c r="T149" s="5"/>
      <c r="U149" s="5"/>
    </row>
    <row r="150" spans="1:21">
      <c r="A150" s="5" t="str">
        <f t="shared" si="4"/>
        <v/>
      </c>
      <c r="B150" s="6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"/>
      <c r="S150" s="8" t="str">
        <f t="shared" ca="1" si="5"/>
        <v/>
      </c>
      <c r="T150" s="5"/>
      <c r="U150" s="5"/>
    </row>
    <row r="151" spans="1:21">
      <c r="A151" s="5" t="str">
        <f t="shared" si="4"/>
        <v/>
      </c>
      <c r="B151" s="6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"/>
      <c r="S151" s="8" t="str">
        <f t="shared" ca="1" si="5"/>
        <v/>
      </c>
      <c r="T151" s="5"/>
      <c r="U151" s="5"/>
    </row>
    <row r="152" spans="1:21">
      <c r="A152" s="5" t="str">
        <f t="shared" si="4"/>
        <v/>
      </c>
      <c r="B152" s="6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"/>
      <c r="S152" s="8" t="str">
        <f t="shared" ca="1" si="5"/>
        <v/>
      </c>
      <c r="T152" s="5"/>
      <c r="U152" s="5"/>
    </row>
    <row r="153" spans="1:21">
      <c r="A153" s="5" t="str">
        <f t="shared" si="4"/>
        <v/>
      </c>
      <c r="B153" s="6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"/>
      <c r="S153" s="8" t="str">
        <f t="shared" ca="1" si="5"/>
        <v/>
      </c>
      <c r="T153" s="5"/>
      <c r="U153" s="5"/>
    </row>
    <row r="154" spans="1:21">
      <c r="A154" s="5" t="str">
        <f t="shared" si="4"/>
        <v/>
      </c>
      <c r="B154" s="6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"/>
      <c r="S154" s="8" t="str">
        <f t="shared" ca="1" si="5"/>
        <v/>
      </c>
      <c r="T154" s="5"/>
      <c r="U154" s="5"/>
    </row>
    <row r="155" spans="1:21">
      <c r="A155" s="5" t="str">
        <f t="shared" si="4"/>
        <v/>
      </c>
      <c r="B155" s="6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"/>
      <c r="S155" s="8" t="str">
        <f t="shared" ca="1" si="5"/>
        <v/>
      </c>
      <c r="T155" s="5"/>
      <c r="U155" s="5"/>
    </row>
    <row r="156" spans="1:21">
      <c r="A156" s="5" t="str">
        <f t="shared" si="4"/>
        <v/>
      </c>
      <c r="B156" s="6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"/>
      <c r="S156" s="8" t="str">
        <f t="shared" ca="1" si="5"/>
        <v/>
      </c>
      <c r="T156" s="5"/>
      <c r="U156" s="5"/>
    </row>
    <row r="157" spans="1:21">
      <c r="A157" s="5" t="str">
        <f t="shared" si="4"/>
        <v/>
      </c>
      <c r="B157" s="6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"/>
      <c r="S157" s="8" t="str">
        <f t="shared" ca="1" si="5"/>
        <v/>
      </c>
      <c r="T157" s="5"/>
      <c r="U157" s="5"/>
    </row>
    <row r="158" spans="1:21">
      <c r="A158" s="5" t="str">
        <f t="shared" si="4"/>
        <v/>
      </c>
      <c r="B158" s="6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"/>
      <c r="S158" s="8" t="str">
        <f t="shared" ca="1" si="5"/>
        <v/>
      </c>
      <c r="T158" s="5"/>
      <c r="U158" s="5"/>
    </row>
    <row r="159" spans="1:21">
      <c r="A159" s="5" t="str">
        <f t="shared" si="4"/>
        <v/>
      </c>
      <c r="B159" s="6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"/>
      <c r="S159" s="8" t="str">
        <f t="shared" ca="1" si="5"/>
        <v/>
      </c>
      <c r="T159" s="5"/>
      <c r="U159" s="5"/>
    </row>
    <row r="160" spans="1:21">
      <c r="A160" s="5" t="str">
        <f t="shared" si="4"/>
        <v/>
      </c>
      <c r="B160" s="6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"/>
      <c r="S160" s="8" t="str">
        <f t="shared" ca="1" si="5"/>
        <v/>
      </c>
      <c r="T160" s="5"/>
      <c r="U160" s="5"/>
    </row>
    <row r="161" spans="1:21">
      <c r="A161" s="5" t="str">
        <f t="shared" si="4"/>
        <v/>
      </c>
      <c r="B161" s="6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"/>
      <c r="S161" s="8" t="str">
        <f t="shared" ca="1" si="5"/>
        <v/>
      </c>
      <c r="T161" s="5"/>
      <c r="U161" s="5"/>
    </row>
    <row r="162" spans="1:21">
      <c r="A162" s="5" t="str">
        <f t="shared" si="4"/>
        <v/>
      </c>
      <c r="B162" s="6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"/>
      <c r="S162" s="8" t="str">
        <f t="shared" ca="1" si="5"/>
        <v/>
      </c>
      <c r="T162" s="5"/>
      <c r="U162" s="5"/>
    </row>
    <row r="163" spans="1:21">
      <c r="A163" s="5" t="str">
        <f t="shared" si="4"/>
        <v/>
      </c>
      <c r="B163" s="6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"/>
      <c r="S163" s="8" t="str">
        <f t="shared" ca="1" si="5"/>
        <v/>
      </c>
      <c r="T163" s="5"/>
      <c r="U163" s="5"/>
    </row>
    <row r="164" spans="1:21">
      <c r="A164" s="5" t="str">
        <f t="shared" si="4"/>
        <v/>
      </c>
      <c r="B164" s="6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"/>
      <c r="S164" s="8" t="str">
        <f t="shared" ca="1" si="5"/>
        <v/>
      </c>
      <c r="T164" s="5"/>
      <c r="U164" s="5"/>
    </row>
    <row r="165" spans="1:21">
      <c r="A165" s="5" t="str">
        <f t="shared" si="4"/>
        <v/>
      </c>
      <c r="B165" s="6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"/>
      <c r="S165" s="8" t="str">
        <f t="shared" ca="1" si="5"/>
        <v/>
      </c>
      <c r="T165" s="5"/>
      <c r="U165" s="5"/>
    </row>
    <row r="166" spans="1:21">
      <c r="A166" s="5" t="str">
        <f t="shared" si="4"/>
        <v/>
      </c>
      <c r="B166" s="6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"/>
      <c r="S166" s="8" t="str">
        <f t="shared" ca="1" si="5"/>
        <v/>
      </c>
      <c r="T166" s="5"/>
      <c r="U166" s="5"/>
    </row>
    <row r="167" spans="1:21">
      <c r="A167" s="5" t="str">
        <f t="shared" si="4"/>
        <v/>
      </c>
      <c r="B167" s="6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"/>
      <c r="S167" s="8" t="str">
        <f t="shared" ca="1" si="5"/>
        <v/>
      </c>
      <c r="T167" s="5"/>
      <c r="U167" s="5"/>
    </row>
    <row r="168" spans="1:21">
      <c r="A168" s="5" t="str">
        <f t="shared" si="4"/>
        <v/>
      </c>
      <c r="B168" s="6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"/>
      <c r="S168" s="8" t="str">
        <f t="shared" ca="1" si="5"/>
        <v/>
      </c>
      <c r="T168" s="5"/>
      <c r="U168" s="5"/>
    </row>
    <row r="169" spans="1:21">
      <c r="A169" s="5" t="str">
        <f t="shared" si="4"/>
        <v/>
      </c>
      <c r="B169" s="6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"/>
      <c r="S169" s="8" t="str">
        <f t="shared" ca="1" si="5"/>
        <v/>
      </c>
      <c r="T169" s="5"/>
      <c r="U169" s="5"/>
    </row>
    <row r="170" spans="1:21">
      <c r="A170" s="5" t="str">
        <f t="shared" si="4"/>
        <v/>
      </c>
      <c r="B170" s="6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"/>
      <c r="S170" s="8" t="str">
        <f t="shared" ca="1" si="5"/>
        <v/>
      </c>
      <c r="T170" s="5"/>
      <c r="U170" s="5"/>
    </row>
    <row r="171" spans="1:21">
      <c r="A171" s="5" t="str">
        <f t="shared" si="4"/>
        <v/>
      </c>
      <c r="B171" s="6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"/>
      <c r="S171" s="8" t="str">
        <f t="shared" ca="1" si="5"/>
        <v/>
      </c>
      <c r="T171" s="5"/>
      <c r="U171" s="5"/>
    </row>
    <row r="172" spans="1:21">
      <c r="A172" s="5" t="str">
        <f t="shared" si="4"/>
        <v/>
      </c>
      <c r="B172" s="6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8" t="str">
        <f t="shared" ca="1" si="5"/>
        <v/>
      </c>
      <c r="T172" s="5"/>
      <c r="U172" s="5"/>
    </row>
    <row r="173" spans="1:21">
      <c r="A173" s="5" t="str">
        <f t="shared" si="4"/>
        <v/>
      </c>
      <c r="B173" s="6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"/>
      <c r="S173" s="8" t="str">
        <f t="shared" ca="1" si="5"/>
        <v/>
      </c>
      <c r="T173" s="5"/>
      <c r="U173" s="5"/>
    </row>
    <row r="174" spans="1:21">
      <c r="A174" s="5" t="str">
        <f t="shared" si="4"/>
        <v/>
      </c>
      <c r="B174" s="6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"/>
      <c r="S174" s="8" t="str">
        <f t="shared" ca="1" si="5"/>
        <v/>
      </c>
      <c r="T174" s="5"/>
      <c r="U174" s="5"/>
    </row>
    <row r="175" spans="1:21">
      <c r="A175" s="5" t="str">
        <f t="shared" si="4"/>
        <v/>
      </c>
      <c r="B175" s="6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"/>
      <c r="S175" s="8" t="str">
        <f t="shared" ca="1" si="5"/>
        <v/>
      </c>
      <c r="T175" s="5"/>
      <c r="U175" s="5"/>
    </row>
    <row r="176" spans="1:21">
      <c r="A176" s="5" t="str">
        <f t="shared" si="4"/>
        <v/>
      </c>
      <c r="B176" s="6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"/>
      <c r="S176" s="8" t="str">
        <f t="shared" ca="1" si="5"/>
        <v/>
      </c>
      <c r="T176" s="5"/>
      <c r="U176" s="5"/>
    </row>
    <row r="177" spans="1:21">
      <c r="A177" s="5" t="str">
        <f t="shared" si="4"/>
        <v/>
      </c>
      <c r="B177" s="6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"/>
      <c r="S177" s="8" t="str">
        <f t="shared" ca="1" si="5"/>
        <v/>
      </c>
      <c r="T177" s="5"/>
      <c r="U177" s="5"/>
    </row>
    <row r="178" spans="1:21">
      <c r="A178" s="5" t="str">
        <f t="shared" si="4"/>
        <v/>
      </c>
      <c r="B178" s="6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"/>
      <c r="S178" s="8" t="str">
        <f t="shared" ca="1" si="5"/>
        <v/>
      </c>
      <c r="T178" s="5"/>
      <c r="U178" s="5"/>
    </row>
    <row r="179" spans="1:21">
      <c r="A179" s="5" t="str">
        <f t="shared" si="4"/>
        <v/>
      </c>
      <c r="B179" s="6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"/>
      <c r="S179" s="8" t="str">
        <f t="shared" ca="1" si="5"/>
        <v/>
      </c>
      <c r="T179" s="5"/>
      <c r="U179" s="5"/>
    </row>
    <row r="180" spans="1:21">
      <c r="A180" s="5" t="str">
        <f t="shared" si="4"/>
        <v/>
      </c>
      <c r="B180" s="6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"/>
      <c r="S180" s="8" t="str">
        <f t="shared" ca="1" si="5"/>
        <v/>
      </c>
      <c r="T180" s="5"/>
      <c r="U180" s="5"/>
    </row>
    <row r="181" spans="1:21">
      <c r="A181" s="5" t="str">
        <f t="shared" si="4"/>
        <v/>
      </c>
      <c r="B181" s="6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"/>
      <c r="S181" s="8" t="str">
        <f t="shared" ca="1" si="5"/>
        <v/>
      </c>
      <c r="T181" s="5"/>
      <c r="U181" s="5"/>
    </row>
    <row r="182" spans="1:21">
      <c r="A182" s="5" t="str">
        <f t="shared" si="4"/>
        <v/>
      </c>
      <c r="B182" s="6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"/>
      <c r="S182" s="8" t="str">
        <f t="shared" ca="1" si="5"/>
        <v/>
      </c>
      <c r="T182" s="5"/>
      <c r="U182" s="5"/>
    </row>
    <row r="183" spans="1:21">
      <c r="A183" s="5" t="str">
        <f t="shared" si="4"/>
        <v/>
      </c>
      <c r="B183" s="6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"/>
      <c r="S183" s="8" t="str">
        <f t="shared" ca="1" si="5"/>
        <v/>
      </c>
      <c r="T183" s="5"/>
      <c r="U183" s="5"/>
    </row>
    <row r="184" spans="1:21">
      <c r="A184" s="5" t="str">
        <f t="shared" si="4"/>
        <v/>
      </c>
      <c r="B184" s="6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"/>
      <c r="S184" s="8" t="str">
        <f t="shared" ca="1" si="5"/>
        <v/>
      </c>
      <c r="T184" s="5"/>
      <c r="U184" s="5"/>
    </row>
    <row r="185" spans="1:21">
      <c r="A185" s="5" t="str">
        <f t="shared" si="4"/>
        <v/>
      </c>
      <c r="B185" s="6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"/>
      <c r="S185" s="8" t="str">
        <f t="shared" ca="1" si="5"/>
        <v/>
      </c>
      <c r="T185" s="5"/>
      <c r="U185" s="5"/>
    </row>
    <row r="186" spans="1:21">
      <c r="A186" s="5" t="str">
        <f t="shared" si="4"/>
        <v/>
      </c>
      <c r="B186" s="6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"/>
      <c r="S186" s="8" t="str">
        <f t="shared" ca="1" si="5"/>
        <v/>
      </c>
      <c r="T186" s="5"/>
      <c r="U186" s="5"/>
    </row>
    <row r="187" spans="1:21">
      <c r="A187" s="5" t="str">
        <f t="shared" si="4"/>
        <v/>
      </c>
      <c r="B187" s="6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"/>
      <c r="S187" s="8" t="str">
        <f t="shared" ca="1" si="5"/>
        <v/>
      </c>
      <c r="T187" s="5"/>
      <c r="U187" s="5"/>
    </row>
    <row r="188" spans="1:21">
      <c r="A188" s="5" t="str">
        <f t="shared" si="4"/>
        <v/>
      </c>
      <c r="B188" s="6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/>
      <c r="S188" s="8" t="str">
        <f t="shared" ca="1" si="5"/>
        <v/>
      </c>
      <c r="T188" s="5"/>
      <c r="U188" s="5"/>
    </row>
    <row r="189" spans="1:21">
      <c r="A189" s="5" t="str">
        <f t="shared" si="4"/>
        <v/>
      </c>
      <c r="B189" s="6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"/>
      <c r="S189" s="8" t="str">
        <f t="shared" ca="1" si="5"/>
        <v/>
      </c>
      <c r="T189" s="5"/>
      <c r="U189" s="5"/>
    </row>
    <row r="190" spans="1:21">
      <c r="A190" s="5" t="str">
        <f t="shared" si="4"/>
        <v/>
      </c>
      <c r="B190" s="6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"/>
      <c r="S190" s="8" t="str">
        <f t="shared" ca="1" si="5"/>
        <v/>
      </c>
      <c r="T190" s="5"/>
      <c r="U190" s="5"/>
    </row>
    <row r="191" spans="1:21">
      <c r="A191" s="5" t="str">
        <f t="shared" si="4"/>
        <v/>
      </c>
      <c r="B191" s="6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  <c r="S191" s="8" t="str">
        <f t="shared" ca="1" si="5"/>
        <v/>
      </c>
      <c r="T191" s="5"/>
      <c r="U191" s="5"/>
    </row>
    <row r="192" spans="1:21">
      <c r="A192" s="5" t="str">
        <f t="shared" si="4"/>
        <v/>
      </c>
      <c r="B192" s="6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"/>
      <c r="S192" s="8" t="str">
        <f t="shared" ca="1" si="5"/>
        <v/>
      </c>
      <c r="T192" s="5"/>
      <c r="U192" s="5"/>
    </row>
    <row r="193" spans="1:21">
      <c r="A193" s="5" t="str">
        <f t="shared" si="4"/>
        <v/>
      </c>
      <c r="B193" s="6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"/>
      <c r="S193" s="8" t="str">
        <f t="shared" ca="1" si="5"/>
        <v/>
      </c>
      <c r="T193" s="5"/>
      <c r="U193" s="5"/>
    </row>
    <row r="194" spans="1:21">
      <c r="A194" s="5" t="str">
        <f t="shared" ref="A194:A257" si="6">IF(C194&lt;&gt;"","VAC-"&amp;TEXT(ROW()-1,"0000"),"")</f>
        <v/>
      </c>
      <c r="B194" s="6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"/>
      <c r="S194" s="8" t="str">
        <f t="shared" ref="S194:S257" ca="1" si="7">IF(B194="","",IF(R194&lt;&gt;"",R194-B194,TODAY()-B194))</f>
        <v/>
      </c>
      <c r="T194" s="5"/>
      <c r="U194" s="5"/>
    </row>
    <row r="195" spans="1:21">
      <c r="A195" s="5" t="str">
        <f t="shared" si="6"/>
        <v/>
      </c>
      <c r="B195" s="6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"/>
      <c r="S195" s="8" t="str">
        <f t="shared" ca="1" si="7"/>
        <v/>
      </c>
      <c r="T195" s="5"/>
      <c r="U195" s="5"/>
    </row>
    <row r="196" spans="1:21">
      <c r="A196" s="5" t="str">
        <f t="shared" si="6"/>
        <v/>
      </c>
      <c r="B196" s="6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"/>
      <c r="S196" s="8" t="str">
        <f t="shared" ca="1" si="7"/>
        <v/>
      </c>
      <c r="T196" s="5"/>
      <c r="U196" s="5"/>
    </row>
    <row r="197" spans="1:21">
      <c r="A197" s="5" t="str">
        <f t="shared" si="6"/>
        <v/>
      </c>
      <c r="B197" s="6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"/>
      <c r="S197" s="8" t="str">
        <f t="shared" ca="1" si="7"/>
        <v/>
      </c>
      <c r="T197" s="5"/>
      <c r="U197" s="5"/>
    </row>
    <row r="198" spans="1:21">
      <c r="A198" s="5" t="str">
        <f t="shared" si="6"/>
        <v/>
      </c>
      <c r="B198" s="6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"/>
      <c r="S198" s="8" t="str">
        <f t="shared" ca="1" si="7"/>
        <v/>
      </c>
      <c r="T198" s="5"/>
      <c r="U198" s="5"/>
    </row>
    <row r="199" spans="1:21">
      <c r="A199" s="5" t="str">
        <f t="shared" si="6"/>
        <v/>
      </c>
      <c r="B199" s="6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"/>
      <c r="S199" s="8" t="str">
        <f t="shared" ca="1" si="7"/>
        <v/>
      </c>
      <c r="T199" s="5"/>
      <c r="U199" s="5"/>
    </row>
    <row r="200" spans="1:21">
      <c r="A200" s="5" t="str">
        <f t="shared" si="6"/>
        <v/>
      </c>
      <c r="B200" s="6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"/>
      <c r="S200" s="8" t="str">
        <f t="shared" ca="1" si="7"/>
        <v/>
      </c>
      <c r="T200" s="5"/>
      <c r="U200" s="5"/>
    </row>
    <row r="201" spans="1:21">
      <c r="A201" s="5" t="str">
        <f t="shared" si="6"/>
        <v/>
      </c>
      <c r="B201" s="6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"/>
      <c r="S201" s="8" t="str">
        <f t="shared" ca="1" si="7"/>
        <v/>
      </c>
      <c r="T201" s="5"/>
      <c r="U201" s="5"/>
    </row>
    <row r="202" spans="1:21">
      <c r="A202" s="5" t="str">
        <f t="shared" si="6"/>
        <v/>
      </c>
      <c r="B202" s="6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"/>
      <c r="S202" s="8" t="str">
        <f t="shared" ca="1" si="7"/>
        <v/>
      </c>
      <c r="T202" s="5"/>
      <c r="U202" s="5"/>
    </row>
    <row r="203" spans="1:21">
      <c r="A203" s="5" t="str">
        <f t="shared" si="6"/>
        <v/>
      </c>
      <c r="B203" s="6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"/>
      <c r="S203" s="8" t="str">
        <f t="shared" ca="1" si="7"/>
        <v/>
      </c>
      <c r="T203" s="5"/>
      <c r="U203" s="5"/>
    </row>
    <row r="204" spans="1:21">
      <c r="A204" s="5" t="str">
        <f t="shared" si="6"/>
        <v/>
      </c>
      <c r="B204" s="6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"/>
      <c r="S204" s="8" t="str">
        <f t="shared" ca="1" si="7"/>
        <v/>
      </c>
      <c r="T204" s="5"/>
      <c r="U204" s="5"/>
    </row>
    <row r="205" spans="1:21">
      <c r="A205" s="5" t="str">
        <f t="shared" si="6"/>
        <v/>
      </c>
      <c r="B205" s="6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"/>
      <c r="S205" s="8" t="str">
        <f t="shared" ca="1" si="7"/>
        <v/>
      </c>
      <c r="T205" s="5"/>
      <c r="U205" s="5"/>
    </row>
    <row r="206" spans="1:21">
      <c r="A206" s="5" t="str">
        <f t="shared" si="6"/>
        <v/>
      </c>
      <c r="B206" s="6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"/>
      <c r="S206" s="8" t="str">
        <f t="shared" ca="1" si="7"/>
        <v/>
      </c>
      <c r="T206" s="5"/>
      <c r="U206" s="5"/>
    </row>
    <row r="207" spans="1:21">
      <c r="A207" s="5" t="str">
        <f t="shared" si="6"/>
        <v/>
      </c>
      <c r="B207" s="6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"/>
      <c r="S207" s="8" t="str">
        <f t="shared" ca="1" si="7"/>
        <v/>
      </c>
      <c r="T207" s="5"/>
      <c r="U207" s="5"/>
    </row>
    <row r="208" spans="1:21">
      <c r="A208" s="5" t="str">
        <f t="shared" si="6"/>
        <v/>
      </c>
      <c r="B208" s="6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"/>
      <c r="S208" s="8" t="str">
        <f t="shared" ca="1" si="7"/>
        <v/>
      </c>
      <c r="T208" s="5"/>
      <c r="U208" s="5"/>
    </row>
    <row r="209" spans="1:21">
      <c r="A209" s="5" t="str">
        <f t="shared" si="6"/>
        <v/>
      </c>
      <c r="B209" s="6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"/>
      <c r="S209" s="8" t="str">
        <f t="shared" ca="1" si="7"/>
        <v/>
      </c>
      <c r="T209" s="5"/>
      <c r="U209" s="5"/>
    </row>
    <row r="210" spans="1:21">
      <c r="A210" s="5" t="str">
        <f t="shared" si="6"/>
        <v/>
      </c>
      <c r="B210" s="6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"/>
      <c r="S210" s="8" t="str">
        <f t="shared" ca="1" si="7"/>
        <v/>
      </c>
      <c r="T210" s="5"/>
      <c r="U210" s="5"/>
    </row>
    <row r="211" spans="1:21">
      <c r="A211" s="5" t="str">
        <f t="shared" si="6"/>
        <v/>
      </c>
      <c r="B211" s="6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"/>
      <c r="S211" s="8" t="str">
        <f t="shared" ca="1" si="7"/>
        <v/>
      </c>
      <c r="T211" s="5"/>
      <c r="U211" s="5"/>
    </row>
    <row r="212" spans="1:21">
      <c r="A212" s="5" t="str">
        <f t="shared" si="6"/>
        <v/>
      </c>
      <c r="B212" s="6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"/>
      <c r="S212" s="8" t="str">
        <f t="shared" ca="1" si="7"/>
        <v/>
      </c>
      <c r="T212" s="5"/>
      <c r="U212" s="5"/>
    </row>
    <row r="213" spans="1:21">
      <c r="A213" s="5" t="str">
        <f t="shared" si="6"/>
        <v/>
      </c>
      <c r="B213" s="6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"/>
      <c r="S213" s="8" t="str">
        <f t="shared" ca="1" si="7"/>
        <v/>
      </c>
      <c r="T213" s="5"/>
      <c r="U213" s="5"/>
    </row>
    <row r="214" spans="1:21">
      <c r="A214" s="5" t="str">
        <f t="shared" si="6"/>
        <v/>
      </c>
      <c r="B214" s="6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"/>
      <c r="S214" s="8" t="str">
        <f t="shared" ca="1" si="7"/>
        <v/>
      </c>
      <c r="T214" s="5"/>
      <c r="U214" s="5"/>
    </row>
    <row r="215" spans="1:21">
      <c r="A215" s="5" t="str">
        <f t="shared" si="6"/>
        <v/>
      </c>
      <c r="B215" s="6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"/>
      <c r="S215" s="8" t="str">
        <f t="shared" ca="1" si="7"/>
        <v/>
      </c>
      <c r="T215" s="5"/>
      <c r="U215" s="5"/>
    </row>
    <row r="216" spans="1:21">
      <c r="A216" s="5" t="str">
        <f t="shared" si="6"/>
        <v/>
      </c>
      <c r="B216" s="6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"/>
      <c r="S216" s="8" t="str">
        <f t="shared" ca="1" si="7"/>
        <v/>
      </c>
      <c r="T216" s="5"/>
      <c r="U216" s="5"/>
    </row>
    <row r="217" spans="1:21">
      <c r="A217" s="5" t="str">
        <f t="shared" si="6"/>
        <v/>
      </c>
      <c r="B217" s="6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"/>
      <c r="S217" s="8" t="str">
        <f t="shared" ca="1" si="7"/>
        <v/>
      </c>
      <c r="T217" s="5"/>
      <c r="U217" s="5"/>
    </row>
    <row r="218" spans="1:21">
      <c r="A218" s="5" t="str">
        <f t="shared" si="6"/>
        <v/>
      </c>
      <c r="B218" s="6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"/>
      <c r="S218" s="8" t="str">
        <f t="shared" ca="1" si="7"/>
        <v/>
      </c>
      <c r="T218" s="5"/>
      <c r="U218" s="5"/>
    </row>
    <row r="219" spans="1:21">
      <c r="A219" s="5" t="str">
        <f t="shared" si="6"/>
        <v/>
      </c>
      <c r="B219" s="6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"/>
      <c r="S219" s="8" t="str">
        <f t="shared" ca="1" si="7"/>
        <v/>
      </c>
      <c r="T219" s="5"/>
      <c r="U219" s="5"/>
    </row>
    <row r="220" spans="1:21">
      <c r="A220" s="5" t="str">
        <f t="shared" si="6"/>
        <v/>
      </c>
      <c r="B220" s="6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"/>
      <c r="S220" s="8" t="str">
        <f t="shared" ca="1" si="7"/>
        <v/>
      </c>
      <c r="T220" s="5"/>
      <c r="U220" s="5"/>
    </row>
    <row r="221" spans="1:21">
      <c r="A221" s="5" t="str">
        <f t="shared" si="6"/>
        <v/>
      </c>
      <c r="B221" s="6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"/>
      <c r="S221" s="8" t="str">
        <f t="shared" ca="1" si="7"/>
        <v/>
      </c>
      <c r="T221" s="5"/>
      <c r="U221" s="5"/>
    </row>
    <row r="222" spans="1:21">
      <c r="A222" s="5" t="str">
        <f t="shared" si="6"/>
        <v/>
      </c>
      <c r="B222" s="6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"/>
      <c r="S222" s="8" t="str">
        <f t="shared" ca="1" si="7"/>
        <v/>
      </c>
      <c r="T222" s="5"/>
      <c r="U222" s="5"/>
    </row>
    <row r="223" spans="1:21">
      <c r="A223" s="5" t="str">
        <f t="shared" si="6"/>
        <v/>
      </c>
      <c r="B223" s="6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"/>
      <c r="S223" s="8" t="str">
        <f t="shared" ca="1" si="7"/>
        <v/>
      </c>
      <c r="T223" s="5"/>
      <c r="U223" s="5"/>
    </row>
    <row r="224" spans="1:21">
      <c r="A224" s="5" t="str">
        <f t="shared" si="6"/>
        <v/>
      </c>
      <c r="B224" s="6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"/>
      <c r="S224" s="8" t="str">
        <f t="shared" ca="1" si="7"/>
        <v/>
      </c>
      <c r="T224" s="5"/>
      <c r="U224" s="5"/>
    </row>
    <row r="225" spans="1:21">
      <c r="A225" s="5" t="str">
        <f t="shared" si="6"/>
        <v/>
      </c>
      <c r="B225" s="6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"/>
      <c r="S225" s="8" t="str">
        <f t="shared" ca="1" si="7"/>
        <v/>
      </c>
      <c r="T225" s="5"/>
      <c r="U225" s="5"/>
    </row>
    <row r="226" spans="1:21">
      <c r="A226" s="5" t="str">
        <f t="shared" si="6"/>
        <v/>
      </c>
      <c r="B226" s="6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"/>
      <c r="S226" s="8" t="str">
        <f t="shared" ca="1" si="7"/>
        <v/>
      </c>
      <c r="T226" s="5"/>
      <c r="U226" s="5"/>
    </row>
    <row r="227" spans="1:21">
      <c r="A227" s="5" t="str">
        <f t="shared" si="6"/>
        <v/>
      </c>
      <c r="B227" s="6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"/>
      <c r="S227" s="8" t="str">
        <f t="shared" ca="1" si="7"/>
        <v/>
      </c>
      <c r="T227" s="5"/>
      <c r="U227" s="5"/>
    </row>
    <row r="228" spans="1:21">
      <c r="A228" s="5" t="str">
        <f t="shared" si="6"/>
        <v/>
      </c>
      <c r="B228" s="6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"/>
      <c r="S228" s="8" t="str">
        <f t="shared" ca="1" si="7"/>
        <v/>
      </c>
      <c r="T228" s="5"/>
      <c r="U228" s="5"/>
    </row>
    <row r="229" spans="1:21">
      <c r="A229" s="5" t="str">
        <f t="shared" si="6"/>
        <v/>
      </c>
      <c r="B229" s="6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"/>
      <c r="S229" s="8" t="str">
        <f t="shared" ca="1" si="7"/>
        <v/>
      </c>
      <c r="T229" s="5"/>
      <c r="U229" s="5"/>
    </row>
    <row r="230" spans="1:21">
      <c r="A230" s="5" t="str">
        <f t="shared" si="6"/>
        <v/>
      </c>
      <c r="B230" s="6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"/>
      <c r="S230" s="8" t="str">
        <f t="shared" ca="1" si="7"/>
        <v/>
      </c>
      <c r="T230" s="5"/>
      <c r="U230" s="5"/>
    </row>
    <row r="231" spans="1:21">
      <c r="A231" s="5" t="str">
        <f t="shared" si="6"/>
        <v/>
      </c>
      <c r="B231" s="6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"/>
      <c r="S231" s="8" t="str">
        <f t="shared" ca="1" si="7"/>
        <v/>
      </c>
      <c r="T231" s="5"/>
      <c r="U231" s="5"/>
    </row>
    <row r="232" spans="1:21">
      <c r="A232" s="5" t="str">
        <f t="shared" si="6"/>
        <v/>
      </c>
      <c r="B232" s="6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"/>
      <c r="S232" s="8" t="str">
        <f t="shared" ca="1" si="7"/>
        <v/>
      </c>
      <c r="T232" s="5"/>
      <c r="U232" s="5"/>
    </row>
    <row r="233" spans="1:21">
      <c r="A233" s="5" t="str">
        <f t="shared" si="6"/>
        <v/>
      </c>
      <c r="B233" s="6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"/>
      <c r="S233" s="8" t="str">
        <f t="shared" ca="1" si="7"/>
        <v/>
      </c>
      <c r="T233" s="5"/>
      <c r="U233" s="5"/>
    </row>
    <row r="234" spans="1:21">
      <c r="A234" s="5" t="str">
        <f t="shared" si="6"/>
        <v/>
      </c>
      <c r="B234" s="6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"/>
      <c r="S234" s="8" t="str">
        <f t="shared" ca="1" si="7"/>
        <v/>
      </c>
      <c r="T234" s="5"/>
      <c r="U234" s="5"/>
    </row>
    <row r="235" spans="1:21">
      <c r="A235" s="5" t="str">
        <f t="shared" si="6"/>
        <v/>
      </c>
      <c r="B235" s="6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"/>
      <c r="S235" s="8" t="str">
        <f t="shared" ca="1" si="7"/>
        <v/>
      </c>
      <c r="T235" s="5"/>
      <c r="U235" s="5"/>
    </row>
    <row r="236" spans="1:21">
      <c r="A236" s="5" t="str">
        <f t="shared" si="6"/>
        <v/>
      </c>
      <c r="B236" s="6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"/>
      <c r="S236" s="8" t="str">
        <f t="shared" ca="1" si="7"/>
        <v/>
      </c>
      <c r="T236" s="5"/>
      <c r="U236" s="5"/>
    </row>
    <row r="237" spans="1:21">
      <c r="A237" s="5" t="str">
        <f t="shared" si="6"/>
        <v/>
      </c>
      <c r="B237" s="6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"/>
      <c r="S237" s="8" t="str">
        <f t="shared" ca="1" si="7"/>
        <v/>
      </c>
      <c r="T237" s="5"/>
      <c r="U237" s="5"/>
    </row>
    <row r="238" spans="1:21">
      <c r="A238" s="5" t="str">
        <f t="shared" si="6"/>
        <v/>
      </c>
      <c r="B238" s="6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"/>
      <c r="S238" s="8" t="str">
        <f t="shared" ca="1" si="7"/>
        <v/>
      </c>
      <c r="T238" s="5"/>
      <c r="U238" s="5"/>
    </row>
    <row r="239" spans="1:21">
      <c r="A239" s="5" t="str">
        <f t="shared" si="6"/>
        <v/>
      </c>
      <c r="B239" s="6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"/>
      <c r="S239" s="8" t="str">
        <f t="shared" ca="1" si="7"/>
        <v/>
      </c>
      <c r="T239" s="5"/>
      <c r="U239" s="5"/>
    </row>
    <row r="240" spans="1:21">
      <c r="A240" s="5" t="str">
        <f t="shared" si="6"/>
        <v/>
      </c>
      <c r="B240" s="6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"/>
      <c r="S240" s="8" t="str">
        <f t="shared" ca="1" si="7"/>
        <v/>
      </c>
      <c r="T240" s="5"/>
      <c r="U240" s="5"/>
    </row>
    <row r="241" spans="1:21">
      <c r="A241" s="5" t="str">
        <f t="shared" si="6"/>
        <v/>
      </c>
      <c r="B241" s="6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"/>
      <c r="S241" s="8" t="str">
        <f t="shared" ca="1" si="7"/>
        <v/>
      </c>
      <c r="T241" s="5"/>
      <c r="U241" s="5"/>
    </row>
    <row r="242" spans="1:21">
      <c r="A242" s="5" t="str">
        <f t="shared" si="6"/>
        <v/>
      </c>
      <c r="B242" s="6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"/>
      <c r="S242" s="8" t="str">
        <f t="shared" ca="1" si="7"/>
        <v/>
      </c>
      <c r="T242" s="5"/>
      <c r="U242" s="5"/>
    </row>
    <row r="243" spans="1:21">
      <c r="A243" s="5" t="str">
        <f t="shared" si="6"/>
        <v/>
      </c>
      <c r="B243" s="6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"/>
      <c r="S243" s="8" t="str">
        <f t="shared" ca="1" si="7"/>
        <v/>
      </c>
      <c r="T243" s="5"/>
      <c r="U243" s="5"/>
    </row>
    <row r="244" spans="1:21">
      <c r="A244" s="5" t="str">
        <f t="shared" si="6"/>
        <v/>
      </c>
      <c r="B244" s="6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"/>
      <c r="S244" s="8" t="str">
        <f t="shared" ca="1" si="7"/>
        <v/>
      </c>
      <c r="T244" s="5"/>
      <c r="U244" s="5"/>
    </row>
    <row r="245" spans="1:21">
      <c r="A245" s="5" t="str">
        <f t="shared" si="6"/>
        <v/>
      </c>
      <c r="B245" s="6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"/>
      <c r="S245" s="8" t="str">
        <f t="shared" ca="1" si="7"/>
        <v/>
      </c>
      <c r="T245" s="5"/>
      <c r="U245" s="5"/>
    </row>
    <row r="246" spans="1:21">
      <c r="A246" s="5" t="str">
        <f t="shared" si="6"/>
        <v/>
      </c>
      <c r="B246" s="6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"/>
      <c r="S246" s="8" t="str">
        <f t="shared" ca="1" si="7"/>
        <v/>
      </c>
      <c r="T246" s="5"/>
      <c r="U246" s="5"/>
    </row>
    <row r="247" spans="1:21">
      <c r="A247" s="5" t="str">
        <f t="shared" si="6"/>
        <v/>
      </c>
      <c r="B247" s="6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"/>
      <c r="S247" s="8" t="str">
        <f t="shared" ca="1" si="7"/>
        <v/>
      </c>
      <c r="T247" s="5"/>
      <c r="U247" s="5"/>
    </row>
    <row r="248" spans="1:21">
      <c r="A248" s="5" t="str">
        <f t="shared" si="6"/>
        <v/>
      </c>
      <c r="B248" s="6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"/>
      <c r="S248" s="8" t="str">
        <f t="shared" ca="1" si="7"/>
        <v/>
      </c>
      <c r="T248" s="5"/>
      <c r="U248" s="5"/>
    </row>
    <row r="249" spans="1:21">
      <c r="A249" s="5" t="str">
        <f t="shared" si="6"/>
        <v/>
      </c>
      <c r="B249" s="6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"/>
      <c r="S249" s="8" t="str">
        <f t="shared" ca="1" si="7"/>
        <v/>
      </c>
      <c r="T249" s="5"/>
      <c r="U249" s="5"/>
    </row>
    <row r="250" spans="1:21">
      <c r="A250" s="5" t="str">
        <f t="shared" si="6"/>
        <v/>
      </c>
      <c r="B250" s="6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"/>
      <c r="S250" s="8" t="str">
        <f t="shared" ca="1" si="7"/>
        <v/>
      </c>
      <c r="T250" s="5"/>
      <c r="U250" s="5"/>
    </row>
    <row r="251" spans="1:21">
      <c r="A251" s="5" t="str">
        <f t="shared" si="6"/>
        <v/>
      </c>
      <c r="B251" s="6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"/>
      <c r="S251" s="8" t="str">
        <f t="shared" ca="1" si="7"/>
        <v/>
      </c>
      <c r="T251" s="5"/>
      <c r="U251" s="5"/>
    </row>
    <row r="252" spans="1:21">
      <c r="A252" s="5" t="str">
        <f t="shared" si="6"/>
        <v/>
      </c>
      <c r="B252" s="6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"/>
      <c r="S252" s="8" t="str">
        <f t="shared" ca="1" si="7"/>
        <v/>
      </c>
      <c r="T252" s="5"/>
      <c r="U252" s="5"/>
    </row>
    <row r="253" spans="1:21">
      <c r="A253" s="5" t="str">
        <f t="shared" si="6"/>
        <v/>
      </c>
      <c r="B253" s="6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"/>
      <c r="S253" s="8" t="str">
        <f t="shared" ca="1" si="7"/>
        <v/>
      </c>
      <c r="T253" s="5"/>
      <c r="U253" s="5"/>
    </row>
    <row r="254" spans="1:21">
      <c r="A254" s="5" t="str">
        <f t="shared" si="6"/>
        <v/>
      </c>
      <c r="B254" s="6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"/>
      <c r="S254" s="8" t="str">
        <f t="shared" ca="1" si="7"/>
        <v/>
      </c>
      <c r="T254" s="5"/>
      <c r="U254" s="5"/>
    </row>
    <row r="255" spans="1:21">
      <c r="A255" s="5" t="str">
        <f t="shared" si="6"/>
        <v/>
      </c>
      <c r="B255" s="6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"/>
      <c r="S255" s="8" t="str">
        <f t="shared" ca="1" si="7"/>
        <v/>
      </c>
      <c r="T255" s="5"/>
      <c r="U255" s="5"/>
    </row>
    <row r="256" spans="1:21">
      <c r="A256" s="5" t="str">
        <f t="shared" si="6"/>
        <v/>
      </c>
      <c r="B256" s="6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"/>
      <c r="S256" s="8" t="str">
        <f t="shared" ca="1" si="7"/>
        <v/>
      </c>
      <c r="T256" s="5"/>
      <c r="U256" s="5"/>
    </row>
    <row r="257" spans="1:21">
      <c r="A257" s="5" t="str">
        <f t="shared" si="6"/>
        <v/>
      </c>
      <c r="B257" s="6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"/>
      <c r="S257" s="8" t="str">
        <f t="shared" ca="1" si="7"/>
        <v/>
      </c>
      <c r="T257" s="5"/>
      <c r="U257" s="5"/>
    </row>
    <row r="258" spans="1:21">
      <c r="A258" s="5" t="str">
        <f t="shared" ref="A258:A321" si="8">IF(C258&lt;&gt;"","VAC-"&amp;TEXT(ROW()-1,"0000"),"")</f>
        <v/>
      </c>
      <c r="B258" s="6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"/>
      <c r="S258" s="8" t="str">
        <f t="shared" ref="S258:S321" ca="1" si="9">IF(B258="","",IF(R258&lt;&gt;"",R258-B258,TODAY()-B258))</f>
        <v/>
      </c>
      <c r="T258" s="5"/>
      <c r="U258" s="5"/>
    </row>
    <row r="259" spans="1:21">
      <c r="A259" s="5" t="str">
        <f t="shared" si="8"/>
        <v/>
      </c>
      <c r="B259" s="6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"/>
      <c r="S259" s="8" t="str">
        <f t="shared" ca="1" si="9"/>
        <v/>
      </c>
      <c r="T259" s="5"/>
      <c r="U259" s="5"/>
    </row>
    <row r="260" spans="1:21">
      <c r="A260" s="5" t="str">
        <f t="shared" si="8"/>
        <v/>
      </c>
      <c r="B260" s="6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"/>
      <c r="S260" s="8" t="str">
        <f t="shared" ca="1" si="9"/>
        <v/>
      </c>
      <c r="T260" s="5"/>
      <c r="U260" s="5"/>
    </row>
    <row r="261" spans="1:21">
      <c r="A261" s="5" t="str">
        <f t="shared" si="8"/>
        <v/>
      </c>
      <c r="B261" s="6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"/>
      <c r="S261" s="8" t="str">
        <f t="shared" ca="1" si="9"/>
        <v/>
      </c>
      <c r="T261" s="5"/>
      <c r="U261" s="5"/>
    </row>
    <row r="262" spans="1:21">
      <c r="A262" s="5" t="str">
        <f t="shared" si="8"/>
        <v/>
      </c>
      <c r="B262" s="6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"/>
      <c r="S262" s="8" t="str">
        <f t="shared" ca="1" si="9"/>
        <v/>
      </c>
      <c r="T262" s="5"/>
      <c r="U262" s="5"/>
    </row>
    <row r="263" spans="1:21">
      <c r="A263" s="5" t="str">
        <f t="shared" si="8"/>
        <v/>
      </c>
      <c r="B263" s="6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"/>
      <c r="S263" s="8" t="str">
        <f t="shared" ca="1" si="9"/>
        <v/>
      </c>
      <c r="T263" s="5"/>
      <c r="U263" s="5"/>
    </row>
    <row r="264" spans="1:21">
      <c r="A264" s="5" t="str">
        <f t="shared" si="8"/>
        <v/>
      </c>
      <c r="B264" s="6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"/>
      <c r="S264" s="8" t="str">
        <f t="shared" ca="1" si="9"/>
        <v/>
      </c>
      <c r="T264" s="5"/>
      <c r="U264" s="5"/>
    </row>
    <row r="265" spans="1:21">
      <c r="A265" s="5" t="str">
        <f t="shared" si="8"/>
        <v/>
      </c>
      <c r="B265" s="6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"/>
      <c r="S265" s="8" t="str">
        <f t="shared" ca="1" si="9"/>
        <v/>
      </c>
      <c r="T265" s="5"/>
      <c r="U265" s="5"/>
    </row>
    <row r="266" spans="1:21">
      <c r="A266" s="5" t="str">
        <f t="shared" si="8"/>
        <v/>
      </c>
      <c r="B266" s="6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"/>
      <c r="S266" s="8" t="str">
        <f t="shared" ca="1" si="9"/>
        <v/>
      </c>
      <c r="T266" s="5"/>
      <c r="U266" s="5"/>
    </row>
    <row r="267" spans="1:21">
      <c r="A267" s="5" t="str">
        <f t="shared" si="8"/>
        <v/>
      </c>
      <c r="B267" s="6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"/>
      <c r="S267" s="8" t="str">
        <f t="shared" ca="1" si="9"/>
        <v/>
      </c>
      <c r="T267" s="5"/>
      <c r="U267" s="5"/>
    </row>
    <row r="268" spans="1:21">
      <c r="A268" s="5" t="str">
        <f t="shared" si="8"/>
        <v/>
      </c>
      <c r="B268" s="6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"/>
      <c r="S268" s="8" t="str">
        <f t="shared" ca="1" si="9"/>
        <v/>
      </c>
      <c r="T268" s="5"/>
      <c r="U268" s="5"/>
    </row>
    <row r="269" spans="1:21">
      <c r="A269" s="5" t="str">
        <f t="shared" si="8"/>
        <v/>
      </c>
      <c r="B269" s="6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"/>
      <c r="S269" s="8" t="str">
        <f t="shared" ca="1" si="9"/>
        <v/>
      </c>
      <c r="T269" s="5"/>
      <c r="U269" s="5"/>
    </row>
    <row r="270" spans="1:21">
      <c r="A270" s="5" t="str">
        <f t="shared" si="8"/>
        <v/>
      </c>
      <c r="B270" s="6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"/>
      <c r="S270" s="8" t="str">
        <f t="shared" ca="1" si="9"/>
        <v/>
      </c>
      <c r="T270" s="5"/>
      <c r="U270" s="5"/>
    </row>
    <row r="271" spans="1:21">
      <c r="A271" s="5" t="str">
        <f t="shared" si="8"/>
        <v/>
      </c>
      <c r="B271" s="6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6"/>
      <c r="S271" s="8" t="str">
        <f t="shared" ca="1" si="9"/>
        <v/>
      </c>
      <c r="T271" s="5"/>
      <c r="U271" s="5"/>
    </row>
    <row r="272" spans="1:21">
      <c r="A272" s="5" t="str">
        <f t="shared" si="8"/>
        <v/>
      </c>
      <c r="B272" s="6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6"/>
      <c r="S272" s="8" t="str">
        <f t="shared" ca="1" si="9"/>
        <v/>
      </c>
      <c r="T272" s="5"/>
      <c r="U272" s="5"/>
    </row>
    <row r="273" spans="1:21">
      <c r="A273" s="5" t="str">
        <f t="shared" si="8"/>
        <v/>
      </c>
      <c r="B273" s="6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6"/>
      <c r="S273" s="8" t="str">
        <f t="shared" ca="1" si="9"/>
        <v/>
      </c>
      <c r="T273" s="5"/>
      <c r="U273" s="5"/>
    </row>
    <row r="274" spans="1:21">
      <c r="A274" s="5" t="str">
        <f t="shared" si="8"/>
        <v/>
      </c>
      <c r="B274" s="6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6"/>
      <c r="S274" s="8" t="str">
        <f t="shared" ca="1" si="9"/>
        <v/>
      </c>
      <c r="T274" s="5"/>
      <c r="U274" s="5"/>
    </row>
    <row r="275" spans="1:21">
      <c r="A275" s="5" t="str">
        <f t="shared" si="8"/>
        <v/>
      </c>
      <c r="B275" s="6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6"/>
      <c r="S275" s="8" t="str">
        <f t="shared" ca="1" si="9"/>
        <v/>
      </c>
      <c r="T275" s="5"/>
      <c r="U275" s="5"/>
    </row>
    <row r="276" spans="1:21">
      <c r="A276" s="5" t="str">
        <f t="shared" si="8"/>
        <v/>
      </c>
      <c r="B276" s="6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6"/>
      <c r="S276" s="8" t="str">
        <f t="shared" ca="1" si="9"/>
        <v/>
      </c>
      <c r="T276" s="5"/>
      <c r="U276" s="5"/>
    </row>
    <row r="277" spans="1:21">
      <c r="A277" s="5" t="str">
        <f t="shared" si="8"/>
        <v/>
      </c>
      <c r="B277" s="6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6"/>
      <c r="S277" s="8" t="str">
        <f t="shared" ca="1" si="9"/>
        <v/>
      </c>
      <c r="T277" s="5"/>
      <c r="U277" s="5"/>
    </row>
    <row r="278" spans="1:21">
      <c r="A278" s="5" t="str">
        <f t="shared" si="8"/>
        <v/>
      </c>
      <c r="B278" s="6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6"/>
      <c r="S278" s="8" t="str">
        <f t="shared" ca="1" si="9"/>
        <v/>
      </c>
      <c r="T278" s="5"/>
      <c r="U278" s="5"/>
    </row>
    <row r="279" spans="1:21">
      <c r="A279" s="5" t="str">
        <f t="shared" si="8"/>
        <v/>
      </c>
      <c r="B279" s="6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6"/>
      <c r="S279" s="8" t="str">
        <f t="shared" ca="1" si="9"/>
        <v/>
      </c>
      <c r="T279" s="5"/>
      <c r="U279" s="5"/>
    </row>
    <row r="280" spans="1:21">
      <c r="A280" s="5" t="str">
        <f t="shared" si="8"/>
        <v/>
      </c>
      <c r="B280" s="6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6"/>
      <c r="S280" s="8" t="str">
        <f t="shared" ca="1" si="9"/>
        <v/>
      </c>
      <c r="T280" s="5"/>
      <c r="U280" s="5"/>
    </row>
    <row r="281" spans="1:21">
      <c r="A281" s="5" t="str">
        <f t="shared" si="8"/>
        <v/>
      </c>
      <c r="B281" s="6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6"/>
      <c r="S281" s="8" t="str">
        <f t="shared" ca="1" si="9"/>
        <v/>
      </c>
      <c r="T281" s="5"/>
      <c r="U281" s="5"/>
    </row>
    <row r="282" spans="1:21">
      <c r="A282" s="5" t="str">
        <f t="shared" si="8"/>
        <v/>
      </c>
      <c r="B282" s="6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6"/>
      <c r="S282" s="8" t="str">
        <f t="shared" ca="1" si="9"/>
        <v/>
      </c>
      <c r="T282" s="5"/>
      <c r="U282" s="5"/>
    </row>
    <row r="283" spans="1:21">
      <c r="A283" s="5" t="str">
        <f t="shared" si="8"/>
        <v/>
      </c>
      <c r="B283" s="6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6"/>
      <c r="S283" s="8" t="str">
        <f t="shared" ca="1" si="9"/>
        <v/>
      </c>
      <c r="T283" s="5"/>
      <c r="U283" s="5"/>
    </row>
    <row r="284" spans="1:21">
      <c r="A284" s="5" t="str">
        <f t="shared" si="8"/>
        <v/>
      </c>
      <c r="B284" s="6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6"/>
      <c r="S284" s="8" t="str">
        <f t="shared" ca="1" si="9"/>
        <v/>
      </c>
      <c r="T284" s="5"/>
      <c r="U284" s="5"/>
    </row>
    <row r="285" spans="1:21">
      <c r="A285" s="5" t="str">
        <f t="shared" si="8"/>
        <v/>
      </c>
      <c r="B285" s="6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6"/>
      <c r="S285" s="8" t="str">
        <f t="shared" ca="1" si="9"/>
        <v/>
      </c>
      <c r="T285" s="5"/>
      <c r="U285" s="5"/>
    </row>
    <row r="286" spans="1:21">
      <c r="A286" s="5" t="str">
        <f t="shared" si="8"/>
        <v/>
      </c>
      <c r="B286" s="6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6"/>
      <c r="S286" s="8" t="str">
        <f t="shared" ca="1" si="9"/>
        <v/>
      </c>
      <c r="T286" s="5"/>
      <c r="U286" s="5"/>
    </row>
    <row r="287" spans="1:21">
      <c r="A287" s="5" t="str">
        <f t="shared" si="8"/>
        <v/>
      </c>
      <c r="B287" s="6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6"/>
      <c r="S287" s="8" t="str">
        <f t="shared" ca="1" si="9"/>
        <v/>
      </c>
      <c r="T287" s="5"/>
      <c r="U287" s="5"/>
    </row>
    <row r="288" spans="1:21">
      <c r="A288" s="5" t="str">
        <f t="shared" si="8"/>
        <v/>
      </c>
      <c r="B288" s="6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6"/>
      <c r="S288" s="8" t="str">
        <f t="shared" ca="1" si="9"/>
        <v/>
      </c>
      <c r="T288" s="5"/>
      <c r="U288" s="5"/>
    </row>
    <row r="289" spans="1:21">
      <c r="A289" s="5" t="str">
        <f t="shared" si="8"/>
        <v/>
      </c>
      <c r="B289" s="6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6"/>
      <c r="S289" s="8" t="str">
        <f t="shared" ca="1" si="9"/>
        <v/>
      </c>
      <c r="T289" s="5"/>
      <c r="U289" s="5"/>
    </row>
    <row r="290" spans="1:21">
      <c r="A290" s="5" t="str">
        <f t="shared" si="8"/>
        <v/>
      </c>
      <c r="B290" s="6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6"/>
      <c r="S290" s="8" t="str">
        <f t="shared" ca="1" si="9"/>
        <v/>
      </c>
      <c r="T290" s="5"/>
      <c r="U290" s="5"/>
    </row>
    <row r="291" spans="1:21">
      <c r="A291" s="5" t="str">
        <f t="shared" si="8"/>
        <v/>
      </c>
      <c r="B291" s="6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6"/>
      <c r="S291" s="8" t="str">
        <f t="shared" ca="1" si="9"/>
        <v/>
      </c>
      <c r="T291" s="5"/>
      <c r="U291" s="5"/>
    </row>
    <row r="292" spans="1:21">
      <c r="A292" s="5" t="str">
        <f t="shared" si="8"/>
        <v/>
      </c>
      <c r="B292" s="6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6"/>
      <c r="S292" s="8" t="str">
        <f t="shared" ca="1" si="9"/>
        <v/>
      </c>
      <c r="T292" s="5"/>
      <c r="U292" s="5"/>
    </row>
    <row r="293" spans="1:21">
      <c r="A293" s="5" t="str">
        <f t="shared" si="8"/>
        <v/>
      </c>
      <c r="B293" s="6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6"/>
      <c r="S293" s="8" t="str">
        <f t="shared" ca="1" si="9"/>
        <v/>
      </c>
      <c r="T293" s="5"/>
      <c r="U293" s="5"/>
    </row>
    <row r="294" spans="1:21">
      <c r="A294" s="5" t="str">
        <f t="shared" si="8"/>
        <v/>
      </c>
      <c r="B294" s="6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6"/>
      <c r="S294" s="8" t="str">
        <f t="shared" ca="1" si="9"/>
        <v/>
      </c>
      <c r="T294" s="5"/>
      <c r="U294" s="5"/>
    </row>
    <row r="295" spans="1:21">
      <c r="A295" s="5" t="str">
        <f t="shared" si="8"/>
        <v/>
      </c>
      <c r="B295" s="6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6"/>
      <c r="S295" s="8" t="str">
        <f t="shared" ca="1" si="9"/>
        <v/>
      </c>
      <c r="T295" s="5"/>
      <c r="U295" s="5"/>
    </row>
    <row r="296" spans="1:21">
      <c r="A296" s="5" t="str">
        <f t="shared" si="8"/>
        <v/>
      </c>
      <c r="B296" s="6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6"/>
      <c r="S296" s="8" t="str">
        <f t="shared" ca="1" si="9"/>
        <v/>
      </c>
      <c r="T296" s="5"/>
      <c r="U296" s="5"/>
    </row>
    <row r="297" spans="1:21">
      <c r="A297" s="5" t="str">
        <f t="shared" si="8"/>
        <v/>
      </c>
      <c r="B297" s="6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6"/>
      <c r="S297" s="8" t="str">
        <f t="shared" ca="1" si="9"/>
        <v/>
      </c>
      <c r="T297" s="5"/>
      <c r="U297" s="5"/>
    </row>
    <row r="298" spans="1:21">
      <c r="A298" s="5" t="str">
        <f t="shared" si="8"/>
        <v/>
      </c>
      <c r="B298" s="6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6"/>
      <c r="S298" s="8" t="str">
        <f t="shared" ca="1" si="9"/>
        <v/>
      </c>
      <c r="T298" s="5"/>
      <c r="U298" s="5"/>
    </row>
    <row r="299" spans="1:21">
      <c r="A299" s="5" t="str">
        <f t="shared" si="8"/>
        <v/>
      </c>
      <c r="B299" s="6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6"/>
      <c r="S299" s="8" t="str">
        <f t="shared" ca="1" si="9"/>
        <v/>
      </c>
      <c r="T299" s="5"/>
      <c r="U299" s="5"/>
    </row>
    <row r="300" spans="1:21">
      <c r="A300" s="5" t="str">
        <f t="shared" si="8"/>
        <v/>
      </c>
      <c r="B300" s="6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6"/>
      <c r="S300" s="8" t="str">
        <f t="shared" ca="1" si="9"/>
        <v/>
      </c>
      <c r="T300" s="5"/>
      <c r="U300" s="5"/>
    </row>
    <row r="301" spans="1:21">
      <c r="A301" s="5" t="str">
        <f t="shared" si="8"/>
        <v/>
      </c>
      <c r="B301" s="6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6"/>
      <c r="S301" s="8" t="str">
        <f t="shared" ca="1" si="9"/>
        <v/>
      </c>
      <c r="T301" s="5"/>
      <c r="U301" s="5"/>
    </row>
    <row r="302" spans="1:21">
      <c r="A302" s="5" t="str">
        <f t="shared" si="8"/>
        <v/>
      </c>
      <c r="B302" s="6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6"/>
      <c r="S302" s="8" t="str">
        <f t="shared" ca="1" si="9"/>
        <v/>
      </c>
      <c r="T302" s="5"/>
      <c r="U302" s="5"/>
    </row>
    <row r="303" spans="1:21">
      <c r="A303" s="5" t="str">
        <f t="shared" si="8"/>
        <v/>
      </c>
      <c r="B303" s="6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6"/>
      <c r="S303" s="8" t="str">
        <f t="shared" ca="1" si="9"/>
        <v/>
      </c>
      <c r="T303" s="5"/>
      <c r="U303" s="5"/>
    </row>
    <row r="304" spans="1:21">
      <c r="A304" s="5" t="str">
        <f t="shared" si="8"/>
        <v/>
      </c>
      <c r="B304" s="6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6"/>
      <c r="S304" s="8" t="str">
        <f t="shared" ca="1" si="9"/>
        <v/>
      </c>
      <c r="T304" s="5"/>
      <c r="U304" s="5"/>
    </row>
    <row r="305" spans="1:21">
      <c r="A305" s="5" t="str">
        <f t="shared" si="8"/>
        <v/>
      </c>
      <c r="B305" s="6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6"/>
      <c r="S305" s="8" t="str">
        <f t="shared" ca="1" si="9"/>
        <v/>
      </c>
      <c r="T305" s="5"/>
      <c r="U305" s="5"/>
    </row>
    <row r="306" spans="1:21">
      <c r="A306" s="5" t="str">
        <f t="shared" si="8"/>
        <v/>
      </c>
      <c r="B306" s="6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6"/>
      <c r="S306" s="8" t="str">
        <f t="shared" ca="1" si="9"/>
        <v/>
      </c>
      <c r="T306" s="5"/>
      <c r="U306" s="5"/>
    </row>
    <row r="307" spans="1:21">
      <c r="A307" s="5" t="str">
        <f t="shared" si="8"/>
        <v/>
      </c>
      <c r="B307" s="6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6"/>
      <c r="S307" s="8" t="str">
        <f t="shared" ca="1" si="9"/>
        <v/>
      </c>
      <c r="T307" s="5"/>
      <c r="U307" s="5"/>
    </row>
    <row r="308" spans="1:21">
      <c r="A308" s="5" t="str">
        <f t="shared" si="8"/>
        <v/>
      </c>
      <c r="B308" s="6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6"/>
      <c r="S308" s="8" t="str">
        <f t="shared" ca="1" si="9"/>
        <v/>
      </c>
      <c r="T308" s="5"/>
      <c r="U308" s="5"/>
    </row>
    <row r="309" spans="1:21">
      <c r="A309" s="5" t="str">
        <f t="shared" si="8"/>
        <v/>
      </c>
      <c r="B309" s="6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6"/>
      <c r="S309" s="8" t="str">
        <f t="shared" ca="1" si="9"/>
        <v/>
      </c>
      <c r="T309" s="5"/>
      <c r="U309" s="5"/>
    </row>
    <row r="310" spans="1:21">
      <c r="A310" s="5" t="str">
        <f t="shared" si="8"/>
        <v/>
      </c>
      <c r="B310" s="6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6"/>
      <c r="S310" s="8" t="str">
        <f t="shared" ca="1" si="9"/>
        <v/>
      </c>
      <c r="T310" s="5"/>
      <c r="U310" s="5"/>
    </row>
    <row r="311" spans="1:21">
      <c r="A311" s="5" t="str">
        <f t="shared" si="8"/>
        <v/>
      </c>
      <c r="B311" s="6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6"/>
      <c r="S311" s="8" t="str">
        <f t="shared" ca="1" si="9"/>
        <v/>
      </c>
      <c r="T311" s="5"/>
      <c r="U311" s="5"/>
    </row>
    <row r="312" spans="1:21">
      <c r="A312" s="5" t="str">
        <f t="shared" si="8"/>
        <v/>
      </c>
      <c r="B312" s="6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6"/>
      <c r="S312" s="8" t="str">
        <f t="shared" ca="1" si="9"/>
        <v/>
      </c>
      <c r="T312" s="5"/>
      <c r="U312" s="5"/>
    </row>
    <row r="313" spans="1:21">
      <c r="A313" s="5" t="str">
        <f t="shared" si="8"/>
        <v/>
      </c>
      <c r="B313" s="6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6"/>
      <c r="S313" s="8" t="str">
        <f t="shared" ca="1" si="9"/>
        <v/>
      </c>
      <c r="T313" s="5"/>
      <c r="U313" s="5"/>
    </row>
    <row r="314" spans="1:21">
      <c r="A314" s="5" t="str">
        <f t="shared" si="8"/>
        <v/>
      </c>
      <c r="B314" s="6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6"/>
      <c r="S314" s="8" t="str">
        <f t="shared" ca="1" si="9"/>
        <v/>
      </c>
      <c r="T314" s="5"/>
      <c r="U314" s="5"/>
    </row>
    <row r="315" spans="1:21">
      <c r="A315" s="5" t="str">
        <f t="shared" si="8"/>
        <v/>
      </c>
      <c r="B315" s="6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6"/>
      <c r="S315" s="8" t="str">
        <f t="shared" ca="1" si="9"/>
        <v/>
      </c>
      <c r="T315" s="5"/>
      <c r="U315" s="5"/>
    </row>
    <row r="316" spans="1:21">
      <c r="A316" s="5" t="str">
        <f t="shared" si="8"/>
        <v/>
      </c>
      <c r="B316" s="6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6"/>
      <c r="S316" s="8" t="str">
        <f t="shared" ca="1" si="9"/>
        <v/>
      </c>
      <c r="T316" s="5"/>
      <c r="U316" s="5"/>
    </row>
    <row r="317" spans="1:21">
      <c r="A317" s="5" t="str">
        <f t="shared" si="8"/>
        <v/>
      </c>
      <c r="B317" s="6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6"/>
      <c r="S317" s="8" t="str">
        <f t="shared" ca="1" si="9"/>
        <v/>
      </c>
      <c r="T317" s="5"/>
      <c r="U317" s="5"/>
    </row>
    <row r="318" spans="1:21">
      <c r="A318" s="5" t="str">
        <f t="shared" si="8"/>
        <v/>
      </c>
      <c r="B318" s="6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6"/>
      <c r="S318" s="8" t="str">
        <f t="shared" ca="1" si="9"/>
        <v/>
      </c>
      <c r="T318" s="5"/>
      <c r="U318" s="5"/>
    </row>
    <row r="319" spans="1:21">
      <c r="A319" s="5" t="str">
        <f t="shared" si="8"/>
        <v/>
      </c>
      <c r="B319" s="6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6"/>
      <c r="S319" s="8" t="str">
        <f t="shared" ca="1" si="9"/>
        <v/>
      </c>
      <c r="T319" s="5"/>
      <c r="U319" s="5"/>
    </row>
    <row r="320" spans="1:21">
      <c r="A320" s="5" t="str">
        <f t="shared" si="8"/>
        <v/>
      </c>
      <c r="B320" s="6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6"/>
      <c r="S320" s="8" t="str">
        <f t="shared" ca="1" si="9"/>
        <v/>
      </c>
      <c r="T320" s="5"/>
      <c r="U320" s="5"/>
    </row>
    <row r="321" spans="1:21">
      <c r="A321" s="5" t="str">
        <f t="shared" si="8"/>
        <v/>
      </c>
      <c r="B321" s="6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6"/>
      <c r="S321" s="8" t="str">
        <f t="shared" ca="1" si="9"/>
        <v/>
      </c>
      <c r="T321" s="5"/>
      <c r="U321" s="5"/>
    </row>
    <row r="322" spans="1:21">
      <c r="A322" s="5" t="str">
        <f t="shared" ref="A322:A385" si="10">IF(C322&lt;&gt;"","VAC-"&amp;TEXT(ROW()-1,"0000"),"")</f>
        <v/>
      </c>
      <c r="B322" s="6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6"/>
      <c r="S322" s="8" t="str">
        <f t="shared" ref="S322:S385" ca="1" si="11">IF(B322="","",IF(R322&lt;&gt;"",R322-B322,TODAY()-B322))</f>
        <v/>
      </c>
      <c r="T322" s="5"/>
      <c r="U322" s="5"/>
    </row>
    <row r="323" spans="1:21">
      <c r="A323" s="5" t="str">
        <f t="shared" si="10"/>
        <v/>
      </c>
      <c r="B323" s="6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6"/>
      <c r="S323" s="8" t="str">
        <f t="shared" ca="1" si="11"/>
        <v/>
      </c>
      <c r="T323" s="5"/>
      <c r="U323" s="5"/>
    </row>
    <row r="324" spans="1:21">
      <c r="A324" s="5" t="str">
        <f t="shared" si="10"/>
        <v/>
      </c>
      <c r="B324" s="6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6"/>
      <c r="S324" s="8" t="str">
        <f t="shared" ca="1" si="11"/>
        <v/>
      </c>
      <c r="T324" s="5"/>
      <c r="U324" s="5"/>
    </row>
    <row r="325" spans="1:21">
      <c r="A325" s="5" t="str">
        <f t="shared" si="10"/>
        <v/>
      </c>
      <c r="B325" s="6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6"/>
      <c r="S325" s="8" t="str">
        <f t="shared" ca="1" si="11"/>
        <v/>
      </c>
      <c r="T325" s="5"/>
      <c r="U325" s="5"/>
    </row>
    <row r="326" spans="1:21">
      <c r="A326" s="5" t="str">
        <f t="shared" si="10"/>
        <v/>
      </c>
      <c r="B326" s="6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6"/>
      <c r="S326" s="8" t="str">
        <f t="shared" ca="1" si="11"/>
        <v/>
      </c>
      <c r="T326" s="5"/>
      <c r="U326" s="5"/>
    </row>
    <row r="327" spans="1:21">
      <c r="A327" s="5" t="str">
        <f t="shared" si="10"/>
        <v/>
      </c>
      <c r="B327" s="6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6"/>
      <c r="S327" s="8" t="str">
        <f t="shared" ca="1" si="11"/>
        <v/>
      </c>
      <c r="T327" s="5"/>
      <c r="U327" s="5"/>
    </row>
    <row r="328" spans="1:21">
      <c r="A328" s="5" t="str">
        <f t="shared" si="10"/>
        <v/>
      </c>
      <c r="B328" s="6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6"/>
      <c r="S328" s="8" t="str">
        <f t="shared" ca="1" si="11"/>
        <v/>
      </c>
      <c r="T328" s="5"/>
      <c r="U328" s="5"/>
    </row>
    <row r="329" spans="1:21">
      <c r="A329" s="5" t="str">
        <f t="shared" si="10"/>
        <v/>
      </c>
      <c r="B329" s="6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6"/>
      <c r="S329" s="8" t="str">
        <f t="shared" ca="1" si="11"/>
        <v/>
      </c>
      <c r="T329" s="5"/>
      <c r="U329" s="5"/>
    </row>
    <row r="330" spans="1:21">
      <c r="A330" s="5" t="str">
        <f t="shared" si="10"/>
        <v/>
      </c>
      <c r="B330" s="6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6"/>
      <c r="S330" s="8" t="str">
        <f t="shared" ca="1" si="11"/>
        <v/>
      </c>
      <c r="T330" s="5"/>
      <c r="U330" s="5"/>
    </row>
    <row r="331" spans="1:21">
      <c r="A331" s="5" t="str">
        <f t="shared" si="10"/>
        <v/>
      </c>
      <c r="B331" s="6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6"/>
      <c r="S331" s="8" t="str">
        <f t="shared" ca="1" si="11"/>
        <v/>
      </c>
      <c r="T331" s="5"/>
      <c r="U331" s="5"/>
    </row>
    <row r="332" spans="1:21">
      <c r="A332" s="5" t="str">
        <f t="shared" si="10"/>
        <v/>
      </c>
      <c r="B332" s="6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6"/>
      <c r="S332" s="8" t="str">
        <f t="shared" ca="1" si="11"/>
        <v/>
      </c>
      <c r="T332" s="5"/>
      <c r="U332" s="5"/>
    </row>
    <row r="333" spans="1:21">
      <c r="A333" s="5" t="str">
        <f t="shared" si="10"/>
        <v/>
      </c>
      <c r="B333" s="6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6"/>
      <c r="S333" s="8" t="str">
        <f t="shared" ca="1" si="11"/>
        <v/>
      </c>
      <c r="T333" s="5"/>
      <c r="U333" s="5"/>
    </row>
    <row r="334" spans="1:21">
      <c r="A334" s="5" t="str">
        <f t="shared" si="10"/>
        <v/>
      </c>
      <c r="B334" s="6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6"/>
      <c r="S334" s="8" t="str">
        <f t="shared" ca="1" si="11"/>
        <v/>
      </c>
      <c r="T334" s="5"/>
      <c r="U334" s="5"/>
    </row>
    <row r="335" spans="1:21">
      <c r="A335" s="5" t="str">
        <f t="shared" si="10"/>
        <v/>
      </c>
      <c r="B335" s="6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6"/>
      <c r="S335" s="8" t="str">
        <f t="shared" ca="1" si="11"/>
        <v/>
      </c>
      <c r="T335" s="5"/>
      <c r="U335" s="5"/>
    </row>
    <row r="336" spans="1:21">
      <c r="A336" s="5" t="str">
        <f t="shared" si="10"/>
        <v/>
      </c>
      <c r="B336" s="6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6"/>
      <c r="S336" s="8" t="str">
        <f t="shared" ca="1" si="11"/>
        <v/>
      </c>
      <c r="T336" s="5"/>
      <c r="U336" s="5"/>
    </row>
    <row r="337" spans="1:21">
      <c r="A337" s="5" t="str">
        <f t="shared" si="10"/>
        <v/>
      </c>
      <c r="B337" s="6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6"/>
      <c r="S337" s="8" t="str">
        <f t="shared" ca="1" si="11"/>
        <v/>
      </c>
      <c r="T337" s="5"/>
      <c r="U337" s="5"/>
    </row>
    <row r="338" spans="1:21">
      <c r="A338" s="5" t="str">
        <f t="shared" si="10"/>
        <v/>
      </c>
      <c r="B338" s="6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6"/>
      <c r="S338" s="8" t="str">
        <f t="shared" ca="1" si="11"/>
        <v/>
      </c>
      <c r="T338" s="5"/>
      <c r="U338" s="5"/>
    </row>
    <row r="339" spans="1:21">
      <c r="A339" s="5" t="str">
        <f t="shared" si="10"/>
        <v/>
      </c>
      <c r="B339" s="6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6"/>
      <c r="S339" s="8" t="str">
        <f t="shared" ca="1" si="11"/>
        <v/>
      </c>
      <c r="T339" s="5"/>
      <c r="U339" s="5"/>
    </row>
    <row r="340" spans="1:21">
      <c r="A340" s="5" t="str">
        <f t="shared" si="10"/>
        <v/>
      </c>
      <c r="B340" s="6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6"/>
      <c r="S340" s="8" t="str">
        <f t="shared" ca="1" si="11"/>
        <v/>
      </c>
      <c r="T340" s="5"/>
      <c r="U340" s="5"/>
    </row>
    <row r="341" spans="1:21">
      <c r="A341" s="5" t="str">
        <f t="shared" si="10"/>
        <v/>
      </c>
      <c r="B341" s="6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6"/>
      <c r="S341" s="8" t="str">
        <f t="shared" ca="1" si="11"/>
        <v/>
      </c>
      <c r="T341" s="5"/>
      <c r="U341" s="5"/>
    </row>
    <row r="342" spans="1:21">
      <c r="A342" s="5" t="str">
        <f t="shared" si="10"/>
        <v/>
      </c>
      <c r="B342" s="6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6"/>
      <c r="S342" s="8" t="str">
        <f t="shared" ca="1" si="11"/>
        <v/>
      </c>
      <c r="T342" s="5"/>
      <c r="U342" s="5"/>
    </row>
    <row r="343" spans="1:21">
      <c r="A343" s="5" t="str">
        <f t="shared" si="10"/>
        <v/>
      </c>
      <c r="B343" s="6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6"/>
      <c r="S343" s="8" t="str">
        <f t="shared" ca="1" si="11"/>
        <v/>
      </c>
      <c r="T343" s="5"/>
      <c r="U343" s="5"/>
    </row>
    <row r="344" spans="1:21">
      <c r="A344" s="5" t="str">
        <f t="shared" si="10"/>
        <v/>
      </c>
      <c r="B344" s="6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6"/>
      <c r="S344" s="8" t="str">
        <f t="shared" ca="1" si="11"/>
        <v/>
      </c>
      <c r="T344" s="5"/>
      <c r="U344" s="5"/>
    </row>
    <row r="345" spans="1:21">
      <c r="A345" s="5" t="str">
        <f t="shared" si="10"/>
        <v/>
      </c>
      <c r="B345" s="6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6"/>
      <c r="S345" s="8" t="str">
        <f t="shared" ca="1" si="11"/>
        <v/>
      </c>
      <c r="T345" s="5"/>
      <c r="U345" s="5"/>
    </row>
    <row r="346" spans="1:21">
      <c r="A346" s="5" t="str">
        <f t="shared" si="10"/>
        <v/>
      </c>
      <c r="B346" s="6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6"/>
      <c r="S346" s="8" t="str">
        <f t="shared" ca="1" si="11"/>
        <v/>
      </c>
      <c r="T346" s="5"/>
      <c r="U346" s="5"/>
    </row>
    <row r="347" spans="1:21">
      <c r="A347" s="5" t="str">
        <f t="shared" si="10"/>
        <v/>
      </c>
      <c r="B347" s="6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6"/>
      <c r="S347" s="8" t="str">
        <f t="shared" ca="1" si="11"/>
        <v/>
      </c>
      <c r="T347" s="5"/>
      <c r="U347" s="5"/>
    </row>
    <row r="348" spans="1:21">
      <c r="A348" s="5" t="str">
        <f t="shared" si="10"/>
        <v/>
      </c>
      <c r="B348" s="6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6"/>
      <c r="S348" s="8" t="str">
        <f t="shared" ca="1" si="11"/>
        <v/>
      </c>
      <c r="T348" s="5"/>
      <c r="U348" s="5"/>
    </row>
    <row r="349" spans="1:21">
      <c r="A349" s="5" t="str">
        <f t="shared" si="10"/>
        <v/>
      </c>
      <c r="B349" s="6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6"/>
      <c r="S349" s="8" t="str">
        <f t="shared" ca="1" si="11"/>
        <v/>
      </c>
      <c r="T349" s="5"/>
      <c r="U349" s="5"/>
    </row>
    <row r="350" spans="1:21">
      <c r="A350" s="5" t="str">
        <f t="shared" si="10"/>
        <v/>
      </c>
      <c r="B350" s="6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6"/>
      <c r="S350" s="8" t="str">
        <f t="shared" ca="1" si="11"/>
        <v/>
      </c>
      <c r="T350" s="5"/>
      <c r="U350" s="5"/>
    </row>
    <row r="351" spans="1:21">
      <c r="A351" s="5" t="str">
        <f t="shared" si="10"/>
        <v/>
      </c>
      <c r="B351" s="6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6"/>
      <c r="S351" s="8" t="str">
        <f t="shared" ca="1" si="11"/>
        <v/>
      </c>
      <c r="T351" s="5"/>
      <c r="U351" s="5"/>
    </row>
    <row r="352" spans="1:21">
      <c r="A352" s="5" t="str">
        <f t="shared" si="10"/>
        <v/>
      </c>
      <c r="B352" s="6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6"/>
      <c r="S352" s="8" t="str">
        <f t="shared" ca="1" si="11"/>
        <v/>
      </c>
      <c r="T352" s="5"/>
      <c r="U352" s="5"/>
    </row>
    <row r="353" spans="1:21">
      <c r="A353" s="5" t="str">
        <f t="shared" si="10"/>
        <v/>
      </c>
      <c r="B353" s="6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6"/>
      <c r="S353" s="8" t="str">
        <f t="shared" ca="1" si="11"/>
        <v/>
      </c>
      <c r="T353" s="5"/>
      <c r="U353" s="5"/>
    </row>
    <row r="354" spans="1:21">
      <c r="A354" s="5" t="str">
        <f t="shared" si="10"/>
        <v/>
      </c>
      <c r="B354" s="6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6"/>
      <c r="S354" s="8" t="str">
        <f t="shared" ca="1" si="11"/>
        <v/>
      </c>
      <c r="T354" s="5"/>
      <c r="U354" s="5"/>
    </row>
    <row r="355" spans="1:21">
      <c r="A355" s="5" t="str">
        <f t="shared" si="10"/>
        <v/>
      </c>
      <c r="B355" s="6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6"/>
      <c r="S355" s="8" t="str">
        <f t="shared" ca="1" si="11"/>
        <v/>
      </c>
      <c r="T355" s="5"/>
      <c r="U355" s="5"/>
    </row>
    <row r="356" spans="1:21">
      <c r="A356" s="5" t="str">
        <f t="shared" si="10"/>
        <v/>
      </c>
      <c r="B356" s="6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6"/>
      <c r="S356" s="8" t="str">
        <f t="shared" ca="1" si="11"/>
        <v/>
      </c>
      <c r="T356" s="5"/>
      <c r="U356" s="5"/>
    </row>
    <row r="357" spans="1:21">
      <c r="A357" s="5" t="str">
        <f t="shared" si="10"/>
        <v/>
      </c>
      <c r="B357" s="6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6"/>
      <c r="S357" s="8" t="str">
        <f t="shared" ca="1" si="11"/>
        <v/>
      </c>
      <c r="T357" s="5"/>
      <c r="U357" s="5"/>
    </row>
    <row r="358" spans="1:21">
      <c r="A358" s="5" t="str">
        <f t="shared" si="10"/>
        <v/>
      </c>
      <c r="B358" s="6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6"/>
      <c r="S358" s="8" t="str">
        <f t="shared" ca="1" si="11"/>
        <v/>
      </c>
      <c r="T358" s="5"/>
      <c r="U358" s="5"/>
    </row>
    <row r="359" spans="1:21">
      <c r="A359" s="5" t="str">
        <f t="shared" si="10"/>
        <v/>
      </c>
      <c r="B359" s="6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6"/>
      <c r="S359" s="8" t="str">
        <f t="shared" ca="1" si="11"/>
        <v/>
      </c>
      <c r="T359" s="5"/>
      <c r="U359" s="5"/>
    </row>
    <row r="360" spans="1:21">
      <c r="A360" s="5" t="str">
        <f t="shared" si="10"/>
        <v/>
      </c>
      <c r="B360" s="6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6"/>
      <c r="S360" s="8" t="str">
        <f t="shared" ca="1" si="11"/>
        <v/>
      </c>
      <c r="T360" s="5"/>
      <c r="U360" s="5"/>
    </row>
    <row r="361" spans="1:21">
      <c r="A361" s="5" t="str">
        <f t="shared" si="10"/>
        <v/>
      </c>
      <c r="B361" s="6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6"/>
      <c r="S361" s="8" t="str">
        <f t="shared" ca="1" si="11"/>
        <v/>
      </c>
      <c r="T361" s="5"/>
      <c r="U361" s="5"/>
    </row>
    <row r="362" spans="1:21">
      <c r="A362" s="5" t="str">
        <f t="shared" si="10"/>
        <v/>
      </c>
      <c r="B362" s="6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6"/>
      <c r="S362" s="8" t="str">
        <f t="shared" ca="1" si="11"/>
        <v/>
      </c>
      <c r="T362" s="5"/>
      <c r="U362" s="5"/>
    </row>
    <row r="363" spans="1:21">
      <c r="A363" s="5" t="str">
        <f t="shared" si="10"/>
        <v/>
      </c>
      <c r="B363" s="6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6"/>
      <c r="S363" s="8" t="str">
        <f t="shared" ca="1" si="11"/>
        <v/>
      </c>
      <c r="T363" s="5"/>
      <c r="U363" s="5"/>
    </row>
    <row r="364" spans="1:21">
      <c r="A364" s="5" t="str">
        <f t="shared" si="10"/>
        <v/>
      </c>
      <c r="B364" s="6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6"/>
      <c r="S364" s="8" t="str">
        <f t="shared" ca="1" si="11"/>
        <v/>
      </c>
      <c r="T364" s="5"/>
      <c r="U364" s="5"/>
    </row>
    <row r="365" spans="1:21">
      <c r="A365" s="5" t="str">
        <f t="shared" si="10"/>
        <v/>
      </c>
      <c r="B365" s="6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6"/>
      <c r="S365" s="8" t="str">
        <f t="shared" ca="1" si="11"/>
        <v/>
      </c>
      <c r="T365" s="5"/>
      <c r="U365" s="5"/>
    </row>
    <row r="366" spans="1:21">
      <c r="A366" s="5" t="str">
        <f t="shared" si="10"/>
        <v/>
      </c>
      <c r="B366" s="6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6"/>
      <c r="S366" s="8" t="str">
        <f t="shared" ca="1" si="11"/>
        <v/>
      </c>
      <c r="T366" s="5"/>
      <c r="U366" s="5"/>
    </row>
    <row r="367" spans="1:21">
      <c r="A367" s="5" t="str">
        <f t="shared" si="10"/>
        <v/>
      </c>
      <c r="B367" s="6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6"/>
      <c r="S367" s="8" t="str">
        <f t="shared" ca="1" si="11"/>
        <v/>
      </c>
      <c r="T367" s="5"/>
      <c r="U367" s="5"/>
    </row>
    <row r="368" spans="1:21">
      <c r="A368" s="5" t="str">
        <f t="shared" si="10"/>
        <v/>
      </c>
      <c r="B368" s="6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6"/>
      <c r="S368" s="8" t="str">
        <f t="shared" ca="1" si="11"/>
        <v/>
      </c>
      <c r="T368" s="5"/>
      <c r="U368" s="5"/>
    </row>
    <row r="369" spans="1:21">
      <c r="A369" s="5" t="str">
        <f t="shared" si="10"/>
        <v/>
      </c>
      <c r="B369" s="6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6"/>
      <c r="S369" s="8" t="str">
        <f t="shared" ca="1" si="11"/>
        <v/>
      </c>
      <c r="T369" s="5"/>
      <c r="U369" s="5"/>
    </row>
    <row r="370" spans="1:21">
      <c r="A370" s="5" t="str">
        <f t="shared" si="10"/>
        <v/>
      </c>
      <c r="B370" s="6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6"/>
      <c r="S370" s="8" t="str">
        <f t="shared" ca="1" si="11"/>
        <v/>
      </c>
      <c r="T370" s="5"/>
      <c r="U370" s="5"/>
    </row>
    <row r="371" spans="1:21">
      <c r="A371" s="5" t="str">
        <f t="shared" si="10"/>
        <v/>
      </c>
      <c r="B371" s="6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6"/>
      <c r="S371" s="8" t="str">
        <f t="shared" ca="1" si="11"/>
        <v/>
      </c>
      <c r="T371" s="5"/>
      <c r="U371" s="5"/>
    </row>
    <row r="372" spans="1:21">
      <c r="A372" s="5" t="str">
        <f t="shared" si="10"/>
        <v/>
      </c>
      <c r="B372" s="6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6"/>
      <c r="S372" s="8" t="str">
        <f t="shared" ca="1" si="11"/>
        <v/>
      </c>
      <c r="T372" s="5"/>
      <c r="U372" s="5"/>
    </row>
    <row r="373" spans="1:21">
      <c r="A373" s="5" t="str">
        <f t="shared" si="10"/>
        <v/>
      </c>
      <c r="B373" s="6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6"/>
      <c r="S373" s="8" t="str">
        <f t="shared" ca="1" si="11"/>
        <v/>
      </c>
      <c r="T373" s="5"/>
      <c r="U373" s="5"/>
    </row>
    <row r="374" spans="1:21">
      <c r="A374" s="5" t="str">
        <f t="shared" si="10"/>
        <v/>
      </c>
      <c r="B374" s="6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6"/>
      <c r="S374" s="8" t="str">
        <f t="shared" ca="1" si="11"/>
        <v/>
      </c>
      <c r="T374" s="5"/>
      <c r="U374" s="5"/>
    </row>
    <row r="375" spans="1:21">
      <c r="A375" s="5" t="str">
        <f t="shared" si="10"/>
        <v/>
      </c>
      <c r="B375" s="6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6"/>
      <c r="S375" s="8" t="str">
        <f t="shared" ca="1" si="11"/>
        <v/>
      </c>
      <c r="T375" s="5"/>
      <c r="U375" s="5"/>
    </row>
    <row r="376" spans="1:21">
      <c r="A376" s="5" t="str">
        <f t="shared" si="10"/>
        <v/>
      </c>
      <c r="B376" s="6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6"/>
      <c r="S376" s="8" t="str">
        <f t="shared" ca="1" si="11"/>
        <v/>
      </c>
      <c r="T376" s="5"/>
      <c r="U376" s="5"/>
    </row>
    <row r="377" spans="1:21">
      <c r="A377" s="5" t="str">
        <f t="shared" si="10"/>
        <v/>
      </c>
      <c r="B377" s="6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6"/>
      <c r="S377" s="8" t="str">
        <f t="shared" ca="1" si="11"/>
        <v/>
      </c>
      <c r="T377" s="5"/>
      <c r="U377" s="5"/>
    </row>
    <row r="378" spans="1:21">
      <c r="A378" s="5" t="str">
        <f t="shared" si="10"/>
        <v/>
      </c>
      <c r="B378" s="6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6"/>
      <c r="S378" s="8" t="str">
        <f t="shared" ca="1" si="11"/>
        <v/>
      </c>
      <c r="T378" s="5"/>
      <c r="U378" s="5"/>
    </row>
    <row r="379" spans="1:21">
      <c r="A379" s="5" t="str">
        <f t="shared" si="10"/>
        <v/>
      </c>
      <c r="B379" s="6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6"/>
      <c r="S379" s="8" t="str">
        <f t="shared" ca="1" si="11"/>
        <v/>
      </c>
      <c r="T379" s="5"/>
      <c r="U379" s="5"/>
    </row>
    <row r="380" spans="1:21">
      <c r="A380" s="5" t="str">
        <f t="shared" si="10"/>
        <v/>
      </c>
      <c r="B380" s="6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6"/>
      <c r="S380" s="8" t="str">
        <f t="shared" ca="1" si="11"/>
        <v/>
      </c>
      <c r="T380" s="5"/>
      <c r="U380" s="5"/>
    </row>
    <row r="381" spans="1:21">
      <c r="A381" s="5" t="str">
        <f t="shared" si="10"/>
        <v/>
      </c>
      <c r="B381" s="6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6"/>
      <c r="S381" s="8" t="str">
        <f t="shared" ca="1" si="11"/>
        <v/>
      </c>
      <c r="T381" s="5"/>
      <c r="U381" s="5"/>
    </row>
    <row r="382" spans="1:21">
      <c r="A382" s="5" t="str">
        <f t="shared" si="10"/>
        <v/>
      </c>
      <c r="B382" s="6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6"/>
      <c r="S382" s="8" t="str">
        <f t="shared" ca="1" si="11"/>
        <v/>
      </c>
      <c r="T382" s="5"/>
      <c r="U382" s="5"/>
    </row>
    <row r="383" spans="1:21">
      <c r="A383" s="5" t="str">
        <f t="shared" si="10"/>
        <v/>
      </c>
      <c r="B383" s="6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6"/>
      <c r="S383" s="8" t="str">
        <f t="shared" ca="1" si="11"/>
        <v/>
      </c>
      <c r="T383" s="5"/>
      <c r="U383" s="5"/>
    </row>
    <row r="384" spans="1:21">
      <c r="A384" s="5" t="str">
        <f t="shared" si="10"/>
        <v/>
      </c>
      <c r="B384" s="6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6"/>
      <c r="S384" s="8" t="str">
        <f t="shared" ca="1" si="11"/>
        <v/>
      </c>
      <c r="T384" s="5"/>
      <c r="U384" s="5"/>
    </row>
    <row r="385" spans="1:21">
      <c r="A385" s="5" t="str">
        <f t="shared" si="10"/>
        <v/>
      </c>
      <c r="B385" s="6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6"/>
      <c r="S385" s="8" t="str">
        <f t="shared" ca="1" si="11"/>
        <v/>
      </c>
      <c r="T385" s="5"/>
      <c r="U385" s="5"/>
    </row>
    <row r="386" spans="1:21">
      <c r="A386" s="5" t="str">
        <f t="shared" ref="A386:A449" si="12">IF(C386&lt;&gt;"","VAC-"&amp;TEXT(ROW()-1,"0000"),"")</f>
        <v/>
      </c>
      <c r="B386" s="6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6"/>
      <c r="S386" s="8" t="str">
        <f t="shared" ref="S386:S449" ca="1" si="13">IF(B386="","",IF(R386&lt;&gt;"",R386-B386,TODAY()-B386))</f>
        <v/>
      </c>
      <c r="T386" s="5"/>
      <c r="U386" s="5"/>
    </row>
    <row r="387" spans="1:21">
      <c r="A387" s="5" t="str">
        <f t="shared" si="12"/>
        <v/>
      </c>
      <c r="B387" s="6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6"/>
      <c r="S387" s="8" t="str">
        <f t="shared" ca="1" si="13"/>
        <v/>
      </c>
      <c r="T387" s="5"/>
      <c r="U387" s="5"/>
    </row>
    <row r="388" spans="1:21">
      <c r="A388" s="5" t="str">
        <f t="shared" si="12"/>
        <v/>
      </c>
      <c r="B388" s="6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6"/>
      <c r="S388" s="8" t="str">
        <f t="shared" ca="1" si="13"/>
        <v/>
      </c>
      <c r="T388" s="5"/>
      <c r="U388" s="5"/>
    </row>
    <row r="389" spans="1:21">
      <c r="A389" s="5" t="str">
        <f t="shared" si="12"/>
        <v/>
      </c>
      <c r="B389" s="6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6"/>
      <c r="S389" s="8" t="str">
        <f t="shared" ca="1" si="13"/>
        <v/>
      </c>
      <c r="T389" s="5"/>
      <c r="U389" s="5"/>
    </row>
    <row r="390" spans="1:21">
      <c r="A390" s="5" t="str">
        <f t="shared" si="12"/>
        <v/>
      </c>
      <c r="B390" s="6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6"/>
      <c r="S390" s="8" t="str">
        <f t="shared" ca="1" si="13"/>
        <v/>
      </c>
      <c r="T390" s="5"/>
      <c r="U390" s="5"/>
    </row>
    <row r="391" spans="1:21">
      <c r="A391" s="5" t="str">
        <f t="shared" si="12"/>
        <v/>
      </c>
      <c r="B391" s="6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6"/>
      <c r="S391" s="8" t="str">
        <f t="shared" ca="1" si="13"/>
        <v/>
      </c>
      <c r="T391" s="5"/>
      <c r="U391" s="5"/>
    </row>
    <row r="392" spans="1:21">
      <c r="A392" s="5" t="str">
        <f t="shared" si="12"/>
        <v/>
      </c>
      <c r="B392" s="6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6"/>
      <c r="S392" s="8" t="str">
        <f t="shared" ca="1" si="13"/>
        <v/>
      </c>
      <c r="T392" s="5"/>
      <c r="U392" s="5"/>
    </row>
    <row r="393" spans="1:21">
      <c r="A393" s="5" t="str">
        <f t="shared" si="12"/>
        <v/>
      </c>
      <c r="B393" s="6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6"/>
      <c r="S393" s="8" t="str">
        <f t="shared" ca="1" si="13"/>
        <v/>
      </c>
      <c r="T393" s="5"/>
      <c r="U393" s="5"/>
    </row>
    <row r="394" spans="1:21">
      <c r="A394" s="5" t="str">
        <f t="shared" si="12"/>
        <v/>
      </c>
      <c r="B394" s="6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6"/>
      <c r="S394" s="8" t="str">
        <f t="shared" ca="1" si="13"/>
        <v/>
      </c>
      <c r="T394" s="5"/>
      <c r="U394" s="5"/>
    </row>
    <row r="395" spans="1:21">
      <c r="A395" s="5" t="str">
        <f t="shared" si="12"/>
        <v/>
      </c>
      <c r="B395" s="6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6"/>
      <c r="S395" s="8" t="str">
        <f t="shared" ca="1" si="13"/>
        <v/>
      </c>
      <c r="T395" s="5"/>
      <c r="U395" s="5"/>
    </row>
    <row r="396" spans="1:21">
      <c r="A396" s="5" t="str">
        <f t="shared" si="12"/>
        <v/>
      </c>
      <c r="B396" s="6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6"/>
      <c r="S396" s="8" t="str">
        <f t="shared" ca="1" si="13"/>
        <v/>
      </c>
      <c r="T396" s="5"/>
      <c r="U396" s="5"/>
    </row>
    <row r="397" spans="1:21">
      <c r="A397" s="5" t="str">
        <f t="shared" si="12"/>
        <v/>
      </c>
      <c r="B397" s="6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6"/>
      <c r="S397" s="8" t="str">
        <f t="shared" ca="1" si="13"/>
        <v/>
      </c>
      <c r="T397" s="5"/>
      <c r="U397" s="5"/>
    </row>
    <row r="398" spans="1:21">
      <c r="A398" s="5" t="str">
        <f t="shared" si="12"/>
        <v/>
      </c>
      <c r="B398" s="6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6"/>
      <c r="S398" s="8" t="str">
        <f t="shared" ca="1" si="13"/>
        <v/>
      </c>
      <c r="T398" s="5"/>
      <c r="U398" s="5"/>
    </row>
    <row r="399" spans="1:21">
      <c r="A399" s="5" t="str">
        <f t="shared" si="12"/>
        <v/>
      </c>
      <c r="B399" s="6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6"/>
      <c r="S399" s="8" t="str">
        <f t="shared" ca="1" si="13"/>
        <v/>
      </c>
      <c r="T399" s="5"/>
      <c r="U399" s="5"/>
    </row>
    <row r="400" spans="1:21">
      <c r="A400" s="5" t="str">
        <f t="shared" si="12"/>
        <v/>
      </c>
      <c r="B400" s="6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6"/>
      <c r="S400" s="8" t="str">
        <f t="shared" ca="1" si="13"/>
        <v/>
      </c>
      <c r="T400" s="5"/>
      <c r="U400" s="5"/>
    </row>
    <row r="401" spans="1:21">
      <c r="A401" s="5" t="str">
        <f t="shared" si="12"/>
        <v/>
      </c>
      <c r="B401" s="6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6"/>
      <c r="S401" s="8" t="str">
        <f t="shared" ca="1" si="13"/>
        <v/>
      </c>
      <c r="T401" s="5"/>
      <c r="U401" s="5"/>
    </row>
    <row r="402" spans="1:21">
      <c r="A402" s="5" t="str">
        <f t="shared" si="12"/>
        <v/>
      </c>
      <c r="B402" s="6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6"/>
      <c r="S402" s="8" t="str">
        <f t="shared" ca="1" si="13"/>
        <v/>
      </c>
      <c r="T402" s="5"/>
      <c r="U402" s="5"/>
    </row>
    <row r="403" spans="1:21">
      <c r="A403" s="5" t="str">
        <f t="shared" si="12"/>
        <v/>
      </c>
      <c r="B403" s="6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6"/>
      <c r="S403" s="8" t="str">
        <f t="shared" ca="1" si="13"/>
        <v/>
      </c>
      <c r="T403" s="5"/>
      <c r="U403" s="5"/>
    </row>
    <row r="404" spans="1:21">
      <c r="A404" s="5" t="str">
        <f t="shared" si="12"/>
        <v/>
      </c>
      <c r="B404" s="6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6"/>
      <c r="S404" s="8" t="str">
        <f t="shared" ca="1" si="13"/>
        <v/>
      </c>
      <c r="T404" s="5"/>
      <c r="U404" s="5"/>
    </row>
    <row r="405" spans="1:21">
      <c r="A405" s="5" t="str">
        <f t="shared" si="12"/>
        <v/>
      </c>
      <c r="B405" s="6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6"/>
      <c r="S405" s="8" t="str">
        <f t="shared" ca="1" si="13"/>
        <v/>
      </c>
      <c r="T405" s="5"/>
      <c r="U405" s="5"/>
    </row>
    <row r="406" spans="1:21">
      <c r="A406" s="5" t="str">
        <f t="shared" si="12"/>
        <v/>
      </c>
      <c r="B406" s="6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6"/>
      <c r="S406" s="8" t="str">
        <f t="shared" ca="1" si="13"/>
        <v/>
      </c>
      <c r="T406" s="5"/>
      <c r="U406" s="5"/>
    </row>
    <row r="407" spans="1:21">
      <c r="A407" s="5" t="str">
        <f t="shared" si="12"/>
        <v/>
      </c>
      <c r="B407" s="6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6"/>
      <c r="S407" s="8" t="str">
        <f t="shared" ca="1" si="13"/>
        <v/>
      </c>
      <c r="T407" s="5"/>
      <c r="U407" s="5"/>
    </row>
    <row r="408" spans="1:21">
      <c r="A408" s="5" t="str">
        <f t="shared" si="12"/>
        <v/>
      </c>
      <c r="B408" s="6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6"/>
      <c r="S408" s="8" t="str">
        <f t="shared" ca="1" si="13"/>
        <v/>
      </c>
      <c r="T408" s="5"/>
      <c r="U408" s="5"/>
    </row>
    <row r="409" spans="1:21">
      <c r="A409" s="5" t="str">
        <f t="shared" si="12"/>
        <v/>
      </c>
      <c r="B409" s="6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6"/>
      <c r="S409" s="8" t="str">
        <f t="shared" ca="1" si="13"/>
        <v/>
      </c>
      <c r="T409" s="5"/>
      <c r="U409" s="5"/>
    </row>
    <row r="410" spans="1:21">
      <c r="A410" s="5" t="str">
        <f t="shared" si="12"/>
        <v/>
      </c>
      <c r="B410" s="6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6"/>
      <c r="S410" s="8" t="str">
        <f t="shared" ca="1" si="13"/>
        <v/>
      </c>
      <c r="T410" s="5"/>
      <c r="U410" s="5"/>
    </row>
    <row r="411" spans="1:21">
      <c r="A411" s="5" t="str">
        <f t="shared" si="12"/>
        <v/>
      </c>
      <c r="B411" s="6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6"/>
      <c r="S411" s="8" t="str">
        <f t="shared" ca="1" si="13"/>
        <v/>
      </c>
      <c r="T411" s="5"/>
      <c r="U411" s="5"/>
    </row>
    <row r="412" spans="1:21">
      <c r="A412" s="5" t="str">
        <f t="shared" si="12"/>
        <v/>
      </c>
      <c r="B412" s="6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6"/>
      <c r="S412" s="8" t="str">
        <f t="shared" ca="1" si="13"/>
        <v/>
      </c>
      <c r="T412" s="5"/>
      <c r="U412" s="5"/>
    </row>
    <row r="413" spans="1:21">
      <c r="A413" s="5" t="str">
        <f t="shared" si="12"/>
        <v/>
      </c>
      <c r="B413" s="6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6"/>
      <c r="S413" s="8" t="str">
        <f t="shared" ca="1" si="13"/>
        <v/>
      </c>
      <c r="T413" s="5"/>
      <c r="U413" s="5"/>
    </row>
    <row r="414" spans="1:21">
      <c r="A414" s="5" t="str">
        <f t="shared" si="12"/>
        <v/>
      </c>
      <c r="B414" s="6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6"/>
      <c r="S414" s="8" t="str">
        <f t="shared" ca="1" si="13"/>
        <v/>
      </c>
      <c r="T414" s="5"/>
      <c r="U414" s="5"/>
    </row>
    <row r="415" spans="1:21">
      <c r="A415" s="5" t="str">
        <f t="shared" si="12"/>
        <v/>
      </c>
      <c r="B415" s="6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6"/>
      <c r="S415" s="8" t="str">
        <f t="shared" ca="1" si="13"/>
        <v/>
      </c>
      <c r="T415" s="5"/>
      <c r="U415" s="5"/>
    </row>
    <row r="416" spans="1:21">
      <c r="A416" s="5" t="str">
        <f t="shared" si="12"/>
        <v/>
      </c>
      <c r="B416" s="6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6"/>
      <c r="S416" s="8" t="str">
        <f t="shared" ca="1" si="13"/>
        <v/>
      </c>
      <c r="T416" s="5"/>
      <c r="U416" s="5"/>
    </row>
    <row r="417" spans="1:21">
      <c r="A417" s="5" t="str">
        <f t="shared" si="12"/>
        <v/>
      </c>
      <c r="B417" s="6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6"/>
      <c r="S417" s="8" t="str">
        <f t="shared" ca="1" si="13"/>
        <v/>
      </c>
      <c r="T417" s="5"/>
      <c r="U417" s="5"/>
    </row>
    <row r="418" spans="1:21">
      <c r="A418" s="5" t="str">
        <f t="shared" si="12"/>
        <v/>
      </c>
      <c r="B418" s="6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6"/>
      <c r="S418" s="8" t="str">
        <f t="shared" ca="1" si="13"/>
        <v/>
      </c>
      <c r="T418" s="5"/>
      <c r="U418" s="5"/>
    </row>
    <row r="419" spans="1:21">
      <c r="A419" s="5" t="str">
        <f t="shared" si="12"/>
        <v/>
      </c>
      <c r="B419" s="6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6"/>
      <c r="S419" s="8" t="str">
        <f t="shared" ca="1" si="13"/>
        <v/>
      </c>
      <c r="T419" s="5"/>
      <c r="U419" s="5"/>
    </row>
    <row r="420" spans="1:21">
      <c r="A420" s="5" t="str">
        <f t="shared" si="12"/>
        <v/>
      </c>
      <c r="B420" s="6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6"/>
      <c r="S420" s="8" t="str">
        <f t="shared" ca="1" si="13"/>
        <v/>
      </c>
      <c r="T420" s="5"/>
      <c r="U420" s="5"/>
    </row>
    <row r="421" spans="1:21">
      <c r="A421" s="5" t="str">
        <f t="shared" si="12"/>
        <v/>
      </c>
      <c r="B421" s="6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6"/>
      <c r="S421" s="8" t="str">
        <f t="shared" ca="1" si="13"/>
        <v/>
      </c>
      <c r="T421" s="5"/>
      <c r="U421" s="5"/>
    </row>
    <row r="422" spans="1:21">
      <c r="A422" s="5" t="str">
        <f t="shared" si="12"/>
        <v/>
      </c>
      <c r="B422" s="6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6"/>
      <c r="S422" s="8" t="str">
        <f t="shared" ca="1" si="13"/>
        <v/>
      </c>
      <c r="T422" s="5"/>
      <c r="U422" s="5"/>
    </row>
    <row r="423" spans="1:21">
      <c r="A423" s="5" t="str">
        <f t="shared" si="12"/>
        <v/>
      </c>
      <c r="B423" s="6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6"/>
      <c r="S423" s="8" t="str">
        <f t="shared" ca="1" si="13"/>
        <v/>
      </c>
      <c r="T423" s="5"/>
      <c r="U423" s="5"/>
    </row>
    <row r="424" spans="1:21">
      <c r="A424" s="5" t="str">
        <f t="shared" si="12"/>
        <v/>
      </c>
      <c r="B424" s="6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6"/>
      <c r="S424" s="8" t="str">
        <f t="shared" ca="1" si="13"/>
        <v/>
      </c>
      <c r="T424" s="5"/>
      <c r="U424" s="5"/>
    </row>
    <row r="425" spans="1:21">
      <c r="A425" s="5" t="str">
        <f t="shared" si="12"/>
        <v/>
      </c>
      <c r="B425" s="6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6"/>
      <c r="S425" s="8" t="str">
        <f t="shared" ca="1" si="13"/>
        <v/>
      </c>
      <c r="T425" s="5"/>
      <c r="U425" s="5"/>
    </row>
    <row r="426" spans="1:21">
      <c r="A426" s="5" t="str">
        <f t="shared" si="12"/>
        <v/>
      </c>
      <c r="B426" s="6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6"/>
      <c r="S426" s="8" t="str">
        <f t="shared" ca="1" si="13"/>
        <v/>
      </c>
      <c r="T426" s="5"/>
      <c r="U426" s="5"/>
    </row>
    <row r="427" spans="1:21">
      <c r="A427" s="5" t="str">
        <f t="shared" si="12"/>
        <v/>
      </c>
      <c r="B427" s="6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6"/>
      <c r="S427" s="8" t="str">
        <f t="shared" ca="1" si="13"/>
        <v/>
      </c>
      <c r="T427" s="5"/>
      <c r="U427" s="5"/>
    </row>
    <row r="428" spans="1:21">
      <c r="A428" s="5" t="str">
        <f t="shared" si="12"/>
        <v/>
      </c>
      <c r="B428" s="6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6"/>
      <c r="S428" s="8" t="str">
        <f t="shared" ca="1" si="13"/>
        <v/>
      </c>
      <c r="T428" s="5"/>
      <c r="U428" s="5"/>
    </row>
    <row r="429" spans="1:21">
      <c r="A429" s="5" t="str">
        <f t="shared" si="12"/>
        <v/>
      </c>
      <c r="B429" s="6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6"/>
      <c r="S429" s="8" t="str">
        <f t="shared" ca="1" si="13"/>
        <v/>
      </c>
      <c r="T429" s="5"/>
      <c r="U429" s="5"/>
    </row>
    <row r="430" spans="1:21">
      <c r="A430" s="5" t="str">
        <f t="shared" si="12"/>
        <v/>
      </c>
      <c r="B430" s="6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6"/>
      <c r="S430" s="8" t="str">
        <f t="shared" ca="1" si="13"/>
        <v/>
      </c>
      <c r="T430" s="5"/>
      <c r="U430" s="5"/>
    </row>
    <row r="431" spans="1:21">
      <c r="A431" s="5" t="str">
        <f t="shared" si="12"/>
        <v/>
      </c>
      <c r="B431" s="6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6"/>
      <c r="S431" s="8" t="str">
        <f t="shared" ca="1" si="13"/>
        <v/>
      </c>
      <c r="T431" s="5"/>
      <c r="U431" s="5"/>
    </row>
    <row r="432" spans="1:21">
      <c r="A432" s="5" t="str">
        <f t="shared" si="12"/>
        <v/>
      </c>
      <c r="B432" s="6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6"/>
      <c r="S432" s="8" t="str">
        <f t="shared" ca="1" si="13"/>
        <v/>
      </c>
      <c r="T432" s="5"/>
      <c r="U432" s="5"/>
    </row>
    <row r="433" spans="1:21">
      <c r="A433" s="5" t="str">
        <f t="shared" si="12"/>
        <v/>
      </c>
      <c r="B433" s="6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6"/>
      <c r="S433" s="8" t="str">
        <f t="shared" ca="1" si="13"/>
        <v/>
      </c>
      <c r="T433" s="5"/>
      <c r="U433" s="5"/>
    </row>
    <row r="434" spans="1:21">
      <c r="A434" s="5" t="str">
        <f t="shared" si="12"/>
        <v/>
      </c>
      <c r="B434" s="6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6"/>
      <c r="S434" s="8" t="str">
        <f t="shared" ca="1" si="13"/>
        <v/>
      </c>
      <c r="T434" s="5"/>
      <c r="U434" s="5"/>
    </row>
    <row r="435" spans="1:21">
      <c r="A435" s="5" t="str">
        <f t="shared" si="12"/>
        <v/>
      </c>
      <c r="B435" s="6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6"/>
      <c r="S435" s="8" t="str">
        <f t="shared" ca="1" si="13"/>
        <v/>
      </c>
      <c r="T435" s="5"/>
      <c r="U435" s="5"/>
    </row>
    <row r="436" spans="1:21">
      <c r="A436" s="5" t="str">
        <f t="shared" si="12"/>
        <v/>
      </c>
      <c r="B436" s="6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6"/>
      <c r="S436" s="8" t="str">
        <f t="shared" ca="1" si="13"/>
        <v/>
      </c>
      <c r="T436" s="5"/>
      <c r="U436" s="5"/>
    </row>
    <row r="437" spans="1:21">
      <c r="A437" s="5" t="str">
        <f t="shared" si="12"/>
        <v/>
      </c>
      <c r="B437" s="6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6"/>
      <c r="S437" s="8" t="str">
        <f t="shared" ca="1" si="13"/>
        <v/>
      </c>
      <c r="T437" s="5"/>
      <c r="U437" s="5"/>
    </row>
    <row r="438" spans="1:21">
      <c r="A438" s="5" t="str">
        <f t="shared" si="12"/>
        <v/>
      </c>
      <c r="B438" s="6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6"/>
      <c r="S438" s="8" t="str">
        <f t="shared" ca="1" si="13"/>
        <v/>
      </c>
      <c r="T438" s="5"/>
      <c r="U438" s="5"/>
    </row>
    <row r="439" spans="1:21">
      <c r="A439" s="5" t="str">
        <f t="shared" si="12"/>
        <v/>
      </c>
      <c r="B439" s="6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6"/>
      <c r="S439" s="8" t="str">
        <f t="shared" ca="1" si="13"/>
        <v/>
      </c>
      <c r="T439" s="5"/>
      <c r="U439" s="5"/>
    </row>
    <row r="440" spans="1:21">
      <c r="A440" s="5" t="str">
        <f t="shared" si="12"/>
        <v/>
      </c>
      <c r="B440" s="6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6"/>
      <c r="S440" s="8" t="str">
        <f t="shared" ca="1" si="13"/>
        <v/>
      </c>
      <c r="T440" s="5"/>
      <c r="U440" s="5"/>
    </row>
    <row r="441" spans="1:21">
      <c r="A441" s="5" t="str">
        <f t="shared" si="12"/>
        <v/>
      </c>
      <c r="B441" s="6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6"/>
      <c r="S441" s="8" t="str">
        <f t="shared" ca="1" si="13"/>
        <v/>
      </c>
      <c r="T441" s="5"/>
      <c r="U441" s="5"/>
    </row>
    <row r="442" spans="1:21">
      <c r="A442" s="5" t="str">
        <f t="shared" si="12"/>
        <v/>
      </c>
      <c r="B442" s="6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6"/>
      <c r="S442" s="8" t="str">
        <f t="shared" ca="1" si="13"/>
        <v/>
      </c>
      <c r="T442" s="5"/>
      <c r="U442" s="5"/>
    </row>
    <row r="443" spans="1:21">
      <c r="A443" s="5" t="str">
        <f t="shared" si="12"/>
        <v/>
      </c>
      <c r="B443" s="6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6"/>
      <c r="S443" s="8" t="str">
        <f t="shared" ca="1" si="13"/>
        <v/>
      </c>
      <c r="T443" s="5"/>
      <c r="U443" s="5"/>
    </row>
    <row r="444" spans="1:21">
      <c r="A444" s="5" t="str">
        <f t="shared" si="12"/>
        <v/>
      </c>
      <c r="B444" s="6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6"/>
      <c r="S444" s="8" t="str">
        <f t="shared" ca="1" si="13"/>
        <v/>
      </c>
      <c r="T444" s="5"/>
      <c r="U444" s="5"/>
    </row>
    <row r="445" spans="1:21">
      <c r="A445" s="5" t="str">
        <f t="shared" si="12"/>
        <v/>
      </c>
      <c r="B445" s="6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6"/>
      <c r="S445" s="8" t="str">
        <f t="shared" ca="1" si="13"/>
        <v/>
      </c>
      <c r="T445" s="5"/>
      <c r="U445" s="5"/>
    </row>
    <row r="446" spans="1:21">
      <c r="A446" s="5" t="str">
        <f t="shared" si="12"/>
        <v/>
      </c>
      <c r="B446" s="6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6"/>
      <c r="S446" s="8" t="str">
        <f t="shared" ca="1" si="13"/>
        <v/>
      </c>
      <c r="T446" s="5"/>
      <c r="U446" s="5"/>
    </row>
    <row r="447" spans="1:21">
      <c r="A447" s="5" t="str">
        <f t="shared" si="12"/>
        <v/>
      </c>
      <c r="B447" s="6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6"/>
      <c r="S447" s="8" t="str">
        <f t="shared" ca="1" si="13"/>
        <v/>
      </c>
      <c r="T447" s="5"/>
      <c r="U447" s="5"/>
    </row>
    <row r="448" spans="1:21">
      <c r="A448" s="5" t="str">
        <f t="shared" si="12"/>
        <v/>
      </c>
      <c r="B448" s="6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6"/>
      <c r="S448" s="8" t="str">
        <f t="shared" ca="1" si="13"/>
        <v/>
      </c>
      <c r="T448" s="5"/>
      <c r="U448" s="5"/>
    </row>
    <row r="449" spans="1:21">
      <c r="A449" s="5" t="str">
        <f t="shared" si="12"/>
        <v/>
      </c>
      <c r="B449" s="6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6"/>
      <c r="S449" s="8" t="str">
        <f t="shared" ca="1" si="13"/>
        <v/>
      </c>
      <c r="T449" s="5"/>
      <c r="U449" s="5"/>
    </row>
    <row r="450" spans="1:21">
      <c r="A450" s="5" t="str">
        <f t="shared" ref="A450:A500" si="14">IF(C450&lt;&gt;"","VAC-"&amp;TEXT(ROW()-1,"0000"),"")</f>
        <v/>
      </c>
      <c r="B450" s="6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6"/>
      <c r="S450" s="8" t="str">
        <f t="shared" ref="S450:S500" ca="1" si="15">IF(B450="","",IF(R450&lt;&gt;"",R450-B450,TODAY()-B450))</f>
        <v/>
      </c>
      <c r="T450" s="5"/>
      <c r="U450" s="5"/>
    </row>
    <row r="451" spans="1:21">
      <c r="A451" s="5" t="str">
        <f t="shared" si="14"/>
        <v/>
      </c>
      <c r="B451" s="6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6"/>
      <c r="S451" s="8" t="str">
        <f t="shared" ca="1" si="15"/>
        <v/>
      </c>
      <c r="T451" s="5"/>
      <c r="U451" s="5"/>
    </row>
    <row r="452" spans="1:21">
      <c r="A452" s="5" t="str">
        <f t="shared" si="14"/>
        <v/>
      </c>
      <c r="B452" s="6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6"/>
      <c r="S452" s="8" t="str">
        <f t="shared" ca="1" si="15"/>
        <v/>
      </c>
      <c r="T452" s="5"/>
      <c r="U452" s="5"/>
    </row>
    <row r="453" spans="1:21">
      <c r="A453" s="5" t="str">
        <f t="shared" si="14"/>
        <v/>
      </c>
      <c r="B453" s="6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6"/>
      <c r="S453" s="8" t="str">
        <f t="shared" ca="1" si="15"/>
        <v/>
      </c>
      <c r="T453" s="5"/>
      <c r="U453" s="5"/>
    </row>
    <row r="454" spans="1:21">
      <c r="A454" s="5" t="str">
        <f t="shared" si="14"/>
        <v/>
      </c>
      <c r="B454" s="6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6"/>
      <c r="S454" s="8" t="str">
        <f t="shared" ca="1" si="15"/>
        <v/>
      </c>
      <c r="T454" s="5"/>
      <c r="U454" s="5"/>
    </row>
    <row r="455" spans="1:21">
      <c r="A455" s="5" t="str">
        <f t="shared" si="14"/>
        <v/>
      </c>
      <c r="B455" s="6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6"/>
      <c r="S455" s="8" t="str">
        <f t="shared" ca="1" si="15"/>
        <v/>
      </c>
      <c r="T455" s="5"/>
      <c r="U455" s="5"/>
    </row>
    <row r="456" spans="1:21">
      <c r="A456" s="5" t="str">
        <f t="shared" si="14"/>
        <v/>
      </c>
      <c r="B456" s="6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6"/>
      <c r="S456" s="8" t="str">
        <f t="shared" ca="1" si="15"/>
        <v/>
      </c>
      <c r="T456" s="5"/>
      <c r="U456" s="5"/>
    </row>
    <row r="457" spans="1:21">
      <c r="A457" s="5" t="str">
        <f t="shared" si="14"/>
        <v/>
      </c>
      <c r="B457" s="6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6"/>
      <c r="S457" s="8" t="str">
        <f t="shared" ca="1" si="15"/>
        <v/>
      </c>
      <c r="T457" s="5"/>
      <c r="U457" s="5"/>
    </row>
    <row r="458" spans="1:21">
      <c r="A458" s="5" t="str">
        <f t="shared" si="14"/>
        <v/>
      </c>
      <c r="B458" s="6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6"/>
      <c r="S458" s="8" t="str">
        <f t="shared" ca="1" si="15"/>
        <v/>
      </c>
      <c r="T458" s="5"/>
      <c r="U458" s="5"/>
    </row>
    <row r="459" spans="1:21">
      <c r="A459" s="5" t="str">
        <f t="shared" si="14"/>
        <v/>
      </c>
      <c r="B459" s="6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6"/>
      <c r="S459" s="8" t="str">
        <f t="shared" ca="1" si="15"/>
        <v/>
      </c>
      <c r="T459" s="5"/>
      <c r="U459" s="5"/>
    </row>
    <row r="460" spans="1:21">
      <c r="A460" s="5" t="str">
        <f t="shared" si="14"/>
        <v/>
      </c>
      <c r="B460" s="6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6"/>
      <c r="S460" s="8" t="str">
        <f t="shared" ca="1" si="15"/>
        <v/>
      </c>
      <c r="T460" s="5"/>
      <c r="U460" s="5"/>
    </row>
    <row r="461" spans="1:21">
      <c r="A461" s="5" t="str">
        <f t="shared" si="14"/>
        <v/>
      </c>
      <c r="B461" s="6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6"/>
      <c r="S461" s="8" t="str">
        <f t="shared" ca="1" si="15"/>
        <v/>
      </c>
      <c r="T461" s="5"/>
      <c r="U461" s="5"/>
    </row>
    <row r="462" spans="1:21">
      <c r="A462" s="5" t="str">
        <f t="shared" si="14"/>
        <v/>
      </c>
      <c r="B462" s="6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6"/>
      <c r="S462" s="8" t="str">
        <f t="shared" ca="1" si="15"/>
        <v/>
      </c>
      <c r="T462" s="5"/>
      <c r="U462" s="5"/>
    </row>
    <row r="463" spans="1:21">
      <c r="A463" s="5" t="str">
        <f t="shared" si="14"/>
        <v/>
      </c>
      <c r="B463" s="6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6"/>
      <c r="S463" s="8" t="str">
        <f t="shared" ca="1" si="15"/>
        <v/>
      </c>
      <c r="T463" s="5"/>
      <c r="U463" s="5"/>
    </row>
    <row r="464" spans="1:21">
      <c r="A464" s="5" t="str">
        <f t="shared" si="14"/>
        <v/>
      </c>
      <c r="B464" s="6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6"/>
      <c r="S464" s="8" t="str">
        <f t="shared" ca="1" si="15"/>
        <v/>
      </c>
      <c r="T464" s="5"/>
      <c r="U464" s="5"/>
    </row>
    <row r="465" spans="1:21">
      <c r="A465" s="5" t="str">
        <f t="shared" si="14"/>
        <v/>
      </c>
      <c r="B465" s="6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6"/>
      <c r="S465" s="8" t="str">
        <f t="shared" ca="1" si="15"/>
        <v/>
      </c>
      <c r="T465" s="5"/>
      <c r="U465" s="5"/>
    </row>
    <row r="466" spans="1:21">
      <c r="A466" s="5" t="str">
        <f t="shared" si="14"/>
        <v/>
      </c>
      <c r="B466" s="6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6"/>
      <c r="S466" s="8" t="str">
        <f t="shared" ca="1" si="15"/>
        <v/>
      </c>
      <c r="T466" s="5"/>
      <c r="U466" s="5"/>
    </row>
    <row r="467" spans="1:21">
      <c r="A467" s="5" t="str">
        <f t="shared" si="14"/>
        <v/>
      </c>
      <c r="B467" s="6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6"/>
      <c r="S467" s="8" t="str">
        <f t="shared" ca="1" si="15"/>
        <v/>
      </c>
      <c r="T467" s="5"/>
      <c r="U467" s="5"/>
    </row>
    <row r="468" spans="1:21">
      <c r="A468" s="5" t="str">
        <f t="shared" si="14"/>
        <v/>
      </c>
      <c r="B468" s="6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6"/>
      <c r="S468" s="8" t="str">
        <f t="shared" ca="1" si="15"/>
        <v/>
      </c>
      <c r="T468" s="5"/>
      <c r="U468" s="5"/>
    </row>
    <row r="469" spans="1:21">
      <c r="A469" s="5" t="str">
        <f t="shared" si="14"/>
        <v/>
      </c>
      <c r="B469" s="6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6"/>
      <c r="S469" s="8" t="str">
        <f t="shared" ca="1" si="15"/>
        <v/>
      </c>
      <c r="T469" s="5"/>
      <c r="U469" s="5"/>
    </row>
    <row r="470" spans="1:21">
      <c r="A470" s="5" t="str">
        <f t="shared" si="14"/>
        <v/>
      </c>
      <c r="B470" s="6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6"/>
      <c r="S470" s="8" t="str">
        <f t="shared" ca="1" si="15"/>
        <v/>
      </c>
      <c r="T470" s="5"/>
      <c r="U470" s="5"/>
    </row>
    <row r="471" spans="1:21">
      <c r="A471" s="5" t="str">
        <f t="shared" si="14"/>
        <v/>
      </c>
      <c r="B471" s="6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6"/>
      <c r="S471" s="8" t="str">
        <f t="shared" ca="1" si="15"/>
        <v/>
      </c>
      <c r="T471" s="5"/>
      <c r="U471" s="5"/>
    </row>
    <row r="472" spans="1:21">
      <c r="A472" s="5" t="str">
        <f t="shared" si="14"/>
        <v/>
      </c>
      <c r="B472" s="6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6"/>
      <c r="S472" s="8" t="str">
        <f t="shared" ca="1" si="15"/>
        <v/>
      </c>
      <c r="T472" s="5"/>
      <c r="U472" s="5"/>
    </row>
    <row r="473" spans="1:21">
      <c r="A473" s="5" t="str">
        <f t="shared" si="14"/>
        <v/>
      </c>
      <c r="B473" s="6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6"/>
      <c r="S473" s="8" t="str">
        <f t="shared" ca="1" si="15"/>
        <v/>
      </c>
      <c r="T473" s="5"/>
      <c r="U473" s="5"/>
    </row>
    <row r="474" spans="1:21">
      <c r="A474" s="5" t="str">
        <f t="shared" si="14"/>
        <v/>
      </c>
      <c r="B474" s="6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6"/>
      <c r="S474" s="8" t="str">
        <f t="shared" ca="1" si="15"/>
        <v/>
      </c>
      <c r="T474" s="5"/>
      <c r="U474" s="5"/>
    </row>
    <row r="475" spans="1:21">
      <c r="A475" s="5" t="str">
        <f t="shared" si="14"/>
        <v/>
      </c>
      <c r="B475" s="6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6"/>
      <c r="S475" s="8" t="str">
        <f t="shared" ca="1" si="15"/>
        <v/>
      </c>
      <c r="T475" s="5"/>
      <c r="U475" s="5"/>
    </row>
    <row r="476" spans="1:21">
      <c r="A476" s="5" t="str">
        <f t="shared" si="14"/>
        <v/>
      </c>
      <c r="B476" s="6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6"/>
      <c r="S476" s="8" t="str">
        <f t="shared" ca="1" si="15"/>
        <v/>
      </c>
      <c r="T476" s="5"/>
      <c r="U476" s="5"/>
    </row>
    <row r="477" spans="1:21">
      <c r="A477" s="5" t="str">
        <f t="shared" si="14"/>
        <v/>
      </c>
      <c r="B477" s="6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6"/>
      <c r="S477" s="8" t="str">
        <f t="shared" ca="1" si="15"/>
        <v/>
      </c>
      <c r="T477" s="5"/>
      <c r="U477" s="5"/>
    </row>
    <row r="478" spans="1:21">
      <c r="A478" s="5" t="str">
        <f t="shared" si="14"/>
        <v/>
      </c>
      <c r="B478" s="6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6"/>
      <c r="S478" s="8" t="str">
        <f t="shared" ca="1" si="15"/>
        <v/>
      </c>
      <c r="T478" s="5"/>
      <c r="U478" s="5"/>
    </row>
    <row r="479" spans="1:21">
      <c r="A479" s="5" t="str">
        <f t="shared" si="14"/>
        <v/>
      </c>
      <c r="B479" s="6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6"/>
      <c r="S479" s="8" t="str">
        <f t="shared" ca="1" si="15"/>
        <v/>
      </c>
      <c r="T479" s="5"/>
      <c r="U479" s="5"/>
    </row>
    <row r="480" spans="1:21">
      <c r="A480" s="5" t="str">
        <f t="shared" si="14"/>
        <v/>
      </c>
      <c r="B480" s="6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6"/>
      <c r="S480" s="8" t="str">
        <f t="shared" ca="1" si="15"/>
        <v/>
      </c>
      <c r="T480" s="5"/>
      <c r="U480" s="5"/>
    </row>
    <row r="481" spans="1:21">
      <c r="A481" s="5" t="str">
        <f t="shared" si="14"/>
        <v/>
      </c>
      <c r="B481" s="6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6"/>
      <c r="S481" s="8" t="str">
        <f t="shared" ca="1" si="15"/>
        <v/>
      </c>
      <c r="T481" s="5"/>
      <c r="U481" s="5"/>
    </row>
    <row r="482" spans="1:21">
      <c r="A482" s="5" t="str">
        <f t="shared" si="14"/>
        <v/>
      </c>
      <c r="B482" s="6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6"/>
      <c r="S482" s="8" t="str">
        <f t="shared" ca="1" si="15"/>
        <v/>
      </c>
      <c r="T482" s="5"/>
      <c r="U482" s="5"/>
    </row>
    <row r="483" spans="1:21">
      <c r="A483" s="5" t="str">
        <f t="shared" si="14"/>
        <v/>
      </c>
      <c r="B483" s="6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6"/>
      <c r="S483" s="8" t="str">
        <f t="shared" ca="1" si="15"/>
        <v/>
      </c>
      <c r="T483" s="5"/>
      <c r="U483" s="5"/>
    </row>
    <row r="484" spans="1:21">
      <c r="A484" s="5" t="str">
        <f t="shared" si="14"/>
        <v/>
      </c>
      <c r="B484" s="6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6"/>
      <c r="S484" s="8" t="str">
        <f t="shared" ca="1" si="15"/>
        <v/>
      </c>
      <c r="T484" s="5"/>
      <c r="U484" s="5"/>
    </row>
    <row r="485" spans="1:21">
      <c r="A485" s="5" t="str">
        <f t="shared" si="14"/>
        <v/>
      </c>
      <c r="B485" s="6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6"/>
      <c r="S485" s="8" t="str">
        <f t="shared" ca="1" si="15"/>
        <v/>
      </c>
      <c r="T485" s="5"/>
      <c r="U485" s="5"/>
    </row>
    <row r="486" spans="1:21">
      <c r="A486" s="5" t="str">
        <f t="shared" si="14"/>
        <v/>
      </c>
      <c r="B486" s="6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6"/>
      <c r="S486" s="8" t="str">
        <f t="shared" ca="1" si="15"/>
        <v/>
      </c>
      <c r="T486" s="5"/>
      <c r="U486" s="5"/>
    </row>
    <row r="487" spans="1:21">
      <c r="A487" s="5" t="str">
        <f t="shared" si="14"/>
        <v/>
      </c>
      <c r="B487" s="6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6"/>
      <c r="S487" s="8" t="str">
        <f t="shared" ca="1" si="15"/>
        <v/>
      </c>
      <c r="T487" s="5"/>
      <c r="U487" s="5"/>
    </row>
    <row r="488" spans="1:21">
      <c r="A488" s="5" t="str">
        <f t="shared" si="14"/>
        <v/>
      </c>
      <c r="B488" s="6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6"/>
      <c r="S488" s="8" t="str">
        <f t="shared" ca="1" si="15"/>
        <v/>
      </c>
      <c r="T488" s="5"/>
      <c r="U488" s="5"/>
    </row>
    <row r="489" spans="1:21">
      <c r="A489" s="5" t="str">
        <f t="shared" si="14"/>
        <v/>
      </c>
      <c r="B489" s="6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6"/>
      <c r="S489" s="8" t="str">
        <f t="shared" ca="1" si="15"/>
        <v/>
      </c>
      <c r="T489" s="5"/>
      <c r="U489" s="5"/>
    </row>
    <row r="490" spans="1:21">
      <c r="A490" s="5" t="str">
        <f t="shared" si="14"/>
        <v/>
      </c>
      <c r="B490" s="6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6"/>
      <c r="S490" s="8" t="str">
        <f t="shared" ca="1" si="15"/>
        <v/>
      </c>
      <c r="T490" s="5"/>
      <c r="U490" s="5"/>
    </row>
    <row r="491" spans="1:21">
      <c r="A491" s="5" t="str">
        <f t="shared" si="14"/>
        <v/>
      </c>
      <c r="B491" s="6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6"/>
      <c r="S491" s="8" t="str">
        <f t="shared" ca="1" si="15"/>
        <v/>
      </c>
      <c r="T491" s="5"/>
      <c r="U491" s="5"/>
    </row>
    <row r="492" spans="1:21">
      <c r="A492" s="5" t="str">
        <f t="shared" si="14"/>
        <v/>
      </c>
      <c r="B492" s="6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6"/>
      <c r="S492" s="8" t="str">
        <f t="shared" ca="1" si="15"/>
        <v/>
      </c>
      <c r="T492" s="5"/>
      <c r="U492" s="5"/>
    </row>
    <row r="493" spans="1:21">
      <c r="A493" s="5" t="str">
        <f t="shared" si="14"/>
        <v/>
      </c>
      <c r="B493" s="6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6"/>
      <c r="S493" s="8" t="str">
        <f t="shared" ca="1" si="15"/>
        <v/>
      </c>
      <c r="T493" s="5"/>
      <c r="U493" s="5"/>
    </row>
    <row r="494" spans="1:21">
      <c r="A494" s="5" t="str">
        <f t="shared" si="14"/>
        <v/>
      </c>
      <c r="B494" s="6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6"/>
      <c r="S494" s="8" t="str">
        <f t="shared" ca="1" si="15"/>
        <v/>
      </c>
      <c r="T494" s="5"/>
      <c r="U494" s="5"/>
    </row>
    <row r="495" spans="1:21">
      <c r="A495" s="5" t="str">
        <f t="shared" si="14"/>
        <v/>
      </c>
      <c r="B495" s="6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6"/>
      <c r="S495" s="8" t="str">
        <f t="shared" ca="1" si="15"/>
        <v/>
      </c>
      <c r="T495" s="5"/>
      <c r="U495" s="5"/>
    </row>
    <row r="496" spans="1:21">
      <c r="A496" s="5" t="str">
        <f t="shared" si="14"/>
        <v/>
      </c>
      <c r="B496" s="6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6"/>
      <c r="S496" s="8" t="str">
        <f t="shared" ca="1" si="15"/>
        <v/>
      </c>
      <c r="T496" s="5"/>
      <c r="U496" s="5"/>
    </row>
    <row r="497" spans="1:21">
      <c r="A497" s="5" t="str">
        <f t="shared" si="14"/>
        <v/>
      </c>
      <c r="B497" s="6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6"/>
      <c r="S497" s="8" t="str">
        <f t="shared" ca="1" si="15"/>
        <v/>
      </c>
      <c r="T497" s="5"/>
      <c r="U497" s="5"/>
    </row>
    <row r="498" spans="1:21">
      <c r="A498" s="5" t="str">
        <f t="shared" si="14"/>
        <v/>
      </c>
      <c r="B498" s="6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6"/>
      <c r="S498" s="8" t="str">
        <f t="shared" ca="1" si="15"/>
        <v/>
      </c>
      <c r="T498" s="5"/>
      <c r="U498" s="5"/>
    </row>
    <row r="499" spans="1:21">
      <c r="A499" s="5" t="str">
        <f t="shared" si="14"/>
        <v/>
      </c>
      <c r="B499" s="6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6"/>
      <c r="S499" s="8" t="str">
        <f t="shared" ca="1" si="15"/>
        <v/>
      </c>
      <c r="T499" s="5"/>
      <c r="U499" s="5"/>
    </row>
    <row r="500" spans="1:21">
      <c r="A500" s="5" t="str">
        <f t="shared" si="14"/>
        <v/>
      </c>
      <c r="B500" s="6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6"/>
      <c r="S500" s="8" t="str">
        <f t="shared" ca="1" si="15"/>
        <v/>
      </c>
      <c r="T500" s="5"/>
      <c r="U500" s="5"/>
    </row>
  </sheetData>
  <conditionalFormatting sqref="Q2:Q500">
    <cfRule type="expression" dxfId="4" priority="1">
      <formula>Q2="ABIERTA"</formula>
    </cfRule>
    <cfRule type="expression" dxfId="3" priority="2">
      <formula>Q2="CUBIERTA"</formula>
    </cfRule>
    <cfRule type="expression" dxfId="2" priority="3">
      <formula>Q2="CANCELADA"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CATALOGOS!$E$2:$E$6</xm:f>
          </x14:formula1>
          <xm:sqref>C2:C500</xm:sqref>
        </x14:dataValidation>
        <x14:dataValidation type="list" xr:uid="{00000000-0002-0000-0000-000001000000}">
          <x14:formula1>
            <xm:f>CATALOGOS!$G$2:$G$4</xm:f>
          </x14:formula1>
          <xm:sqref>P2:P500</xm:sqref>
        </x14:dataValidation>
        <x14:dataValidation type="list" xr:uid="{00000000-0002-0000-0000-000002000000}">
          <x14:formula1>
            <xm:f>CATALOGOS!$A$2:$A$6</xm:f>
          </x14:formula1>
          <xm:sqref>Q2:Q500</xm:sqref>
        </x14:dataValidation>
        <x14:dataValidation type="list" xr:uid="{00000000-0002-0000-0000-000003000000}">
          <x14:formula1>
            <xm:f>CATALOGOS!$D$2:$D$6</xm:f>
          </x14:formula1>
          <xm:sqref>T2:T500</xm:sqref>
        </x14:dataValidation>
        <x14:dataValidation type="list" xr:uid="{00000000-0002-0000-0000-000004000000}">
          <x14:formula1>
            <xm:f>CATALOGOS!$H$2:$H$4</xm:f>
          </x14:formula1>
          <xm:sqref>N2:N500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0"/>
  <sheetViews>
    <sheetView workbookViewId="0">
      <selection activeCell="I3" sqref="I3"/>
    </sheetView>
  </sheetViews>
  <sheetFormatPr baseColWidth="10" defaultColWidth="8.6640625" defaultRowHeight="14"/>
  <cols>
    <col min="1" max="1" width="15.33203125" customWidth="1"/>
    <col min="2" max="2" width="19.6640625" customWidth="1"/>
    <col min="3" max="3" width="11.6640625" bestFit="1" customWidth="1"/>
    <col min="4" max="4" width="11.83203125" customWidth="1"/>
    <col min="5" max="5" width="10" bestFit="1" customWidth="1"/>
    <col min="6" max="6" width="8.75" customWidth="1"/>
    <col min="7" max="7" width="6" customWidth="1"/>
    <col min="8" max="8" width="12.4140625" customWidth="1"/>
    <col min="9" max="9" width="10.58203125" customWidth="1"/>
    <col min="10" max="10" width="9.33203125" customWidth="1"/>
    <col min="11" max="11" width="13.5" customWidth="1"/>
    <col min="12" max="12" width="10" customWidth="1"/>
    <col min="13" max="13" width="7.83203125" customWidth="1"/>
    <col min="14" max="14" width="8.25" customWidth="1"/>
    <col min="15" max="15" width="14.9140625" customWidth="1"/>
    <col min="16" max="16" width="16.6640625" customWidth="1"/>
    <col min="17" max="17" width="16.5" customWidth="1"/>
    <col min="18" max="18" width="21.08203125" customWidth="1"/>
    <col min="19" max="19" width="14.4140625" bestFit="1" customWidth="1"/>
  </cols>
  <sheetData>
    <row r="1" spans="1:19" ht="28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0</v>
      </c>
      <c r="I1" s="9" t="s">
        <v>2</v>
      </c>
      <c r="J1" s="9" t="s">
        <v>4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  <c r="P1" s="9" t="s">
        <v>32</v>
      </c>
      <c r="Q1" s="9" t="s">
        <v>33</v>
      </c>
      <c r="R1" s="9" t="s">
        <v>34</v>
      </c>
      <c r="S1" s="9" t="s">
        <v>35</v>
      </c>
    </row>
    <row r="2" spans="1:19">
      <c r="A2" s="5" t="str">
        <f t="shared" ref="A2:A65" si="0">IF(C2&lt;&gt;"","CAN-"&amp;TEXT(ROW()-1,"0000"),"")</f>
        <v/>
      </c>
      <c r="B2" s="6"/>
      <c r="C2" s="5"/>
      <c r="D2" s="5"/>
      <c r="E2" s="5"/>
      <c r="F2" s="5"/>
      <c r="G2" s="5"/>
      <c r="H2" s="5"/>
      <c r="I2" s="5" t="str">
        <f ca="1">IFERROR(_xludf.XLOOKUP(H2,BD_VACANTES!A:A,BD_VACANTES!C:C,""),"")</f>
        <v/>
      </c>
      <c r="J2" s="5" t="str">
        <f ca="1">IFERROR(_xludf.XLOOKUP(H2,BD_VACANTES!A:A,BD_VACANTES!E:E,""),"")</f>
        <v/>
      </c>
      <c r="K2" s="5"/>
      <c r="L2" s="5"/>
      <c r="M2" s="5"/>
      <c r="N2" s="5"/>
      <c r="O2" s="5"/>
      <c r="P2" s="6"/>
      <c r="Q2" s="8" t="str">
        <f t="shared" ref="Q2:Q65" ca="1" si="1">IF(B2="","",IF(P2&lt;&gt;"",P2-B2,TODAY()-B2))</f>
        <v/>
      </c>
      <c r="R2" s="7"/>
      <c r="S2" s="5"/>
    </row>
    <row r="3" spans="1:19">
      <c r="A3" s="5" t="str">
        <f t="shared" si="0"/>
        <v/>
      </c>
      <c r="B3" s="6"/>
      <c r="C3" s="5"/>
      <c r="D3" s="5"/>
      <c r="E3" s="5"/>
      <c r="F3" s="5"/>
      <c r="G3" s="5"/>
      <c r="H3" s="5"/>
      <c r="I3" s="5" t="str">
        <f ca="1">IFERROR(_xludf.XLOOKUP(H3,BD_VACANTES!A:A,BD_VACANTES!C:C,""),"")</f>
        <v/>
      </c>
      <c r="J3" s="5" t="str">
        <f ca="1">IFERROR(_xludf.XLOOKUP(H3,BD_VACANTES!A:A,BD_VACANTES!E:E,""),"")</f>
        <v/>
      </c>
      <c r="K3" s="5"/>
      <c r="L3" s="5"/>
      <c r="M3" s="5"/>
      <c r="N3" s="5"/>
      <c r="O3" s="5"/>
      <c r="P3" s="6"/>
      <c r="Q3" s="8" t="str">
        <f t="shared" ca="1" si="1"/>
        <v/>
      </c>
      <c r="R3" s="7"/>
      <c r="S3" s="5"/>
    </row>
    <row r="4" spans="1:19">
      <c r="A4" s="5" t="str">
        <f t="shared" si="0"/>
        <v/>
      </c>
      <c r="B4" s="6"/>
      <c r="C4" s="5"/>
      <c r="D4" s="5"/>
      <c r="E4" s="5"/>
      <c r="F4" s="5"/>
      <c r="G4" s="5"/>
      <c r="H4" s="5"/>
      <c r="I4" s="5" t="str">
        <f ca="1">IFERROR(_xludf.XLOOKUP(H4,BD_VACANTES!A:A,BD_VACANTES!C:C,""),"")</f>
        <v/>
      </c>
      <c r="J4" s="5" t="str">
        <f ca="1">IFERROR(_xludf.XLOOKUP(H4,BD_VACANTES!A:A,BD_VACANTES!E:E,""),"")</f>
        <v/>
      </c>
      <c r="K4" s="5"/>
      <c r="L4" s="5"/>
      <c r="M4" s="5"/>
      <c r="N4" s="5"/>
      <c r="O4" s="5"/>
      <c r="P4" s="6"/>
      <c r="Q4" s="8" t="str">
        <f t="shared" ca="1" si="1"/>
        <v/>
      </c>
      <c r="R4" s="7"/>
      <c r="S4" s="5"/>
    </row>
    <row r="5" spans="1:19">
      <c r="A5" s="5" t="str">
        <f t="shared" si="0"/>
        <v/>
      </c>
      <c r="B5" s="6"/>
      <c r="C5" s="5"/>
      <c r="D5" s="5"/>
      <c r="E5" s="5"/>
      <c r="F5" s="5"/>
      <c r="G5" s="5"/>
      <c r="H5" s="5"/>
      <c r="I5" s="5" t="str">
        <f ca="1">IFERROR(_xludf.XLOOKUP(H5,BD_VACANTES!A:A,BD_VACANTES!C:C,""),"")</f>
        <v/>
      </c>
      <c r="J5" s="5" t="str">
        <f ca="1">IFERROR(_xludf.XLOOKUP(H5,BD_VACANTES!A:A,BD_VACANTES!E:E,""),"")</f>
        <v/>
      </c>
      <c r="K5" s="5"/>
      <c r="L5" s="5"/>
      <c r="M5" s="5"/>
      <c r="N5" s="5"/>
      <c r="O5" s="5"/>
      <c r="P5" s="6"/>
      <c r="Q5" s="8" t="str">
        <f t="shared" ca="1" si="1"/>
        <v/>
      </c>
      <c r="R5" s="7"/>
      <c r="S5" s="5"/>
    </row>
    <row r="6" spans="1:19">
      <c r="A6" s="5" t="str">
        <f t="shared" si="0"/>
        <v/>
      </c>
      <c r="B6" s="6"/>
      <c r="C6" s="5"/>
      <c r="D6" s="5"/>
      <c r="E6" s="5"/>
      <c r="F6" s="5"/>
      <c r="G6" s="5"/>
      <c r="H6" s="5"/>
      <c r="I6" s="5" t="str">
        <f ca="1">IFERROR(_xludf.XLOOKUP(H6,BD_VACANTES!A:A,BD_VACANTES!C:C,""),"")</f>
        <v/>
      </c>
      <c r="J6" s="5" t="str">
        <f ca="1">IFERROR(_xludf.XLOOKUP(H6,BD_VACANTES!A:A,BD_VACANTES!E:E,""),"")</f>
        <v/>
      </c>
      <c r="K6" s="5"/>
      <c r="L6" s="5"/>
      <c r="M6" s="5"/>
      <c r="N6" s="5"/>
      <c r="O6" s="5"/>
      <c r="P6" s="6"/>
      <c r="Q6" s="8" t="str">
        <f t="shared" ca="1" si="1"/>
        <v/>
      </c>
      <c r="R6" s="7"/>
      <c r="S6" s="5"/>
    </row>
    <row r="7" spans="1:19">
      <c r="A7" s="5" t="str">
        <f t="shared" si="0"/>
        <v/>
      </c>
      <c r="B7" s="6"/>
      <c r="C7" s="5"/>
      <c r="D7" s="5"/>
      <c r="E7" s="5"/>
      <c r="F7" s="5"/>
      <c r="G7" s="5"/>
      <c r="H7" s="5"/>
      <c r="I7" s="5" t="str">
        <f ca="1">IFERROR(_xludf.XLOOKUP(H7,BD_VACANTES!A:A,BD_VACANTES!C:C,""),"")</f>
        <v/>
      </c>
      <c r="J7" s="5" t="str">
        <f ca="1">IFERROR(_xludf.XLOOKUP(H7,BD_VACANTES!A:A,BD_VACANTES!E:E,""),"")</f>
        <v/>
      </c>
      <c r="K7" s="5"/>
      <c r="L7" s="5"/>
      <c r="M7" s="5"/>
      <c r="N7" s="5"/>
      <c r="O7" s="5"/>
      <c r="P7" s="6"/>
      <c r="Q7" s="8" t="str">
        <f t="shared" ca="1" si="1"/>
        <v/>
      </c>
      <c r="R7" s="7"/>
      <c r="S7" s="5"/>
    </row>
    <row r="8" spans="1:19">
      <c r="A8" s="5" t="str">
        <f t="shared" si="0"/>
        <v/>
      </c>
      <c r="B8" s="6"/>
      <c r="C8" s="5"/>
      <c r="D8" s="5"/>
      <c r="E8" s="5"/>
      <c r="F8" s="5"/>
      <c r="G8" s="5"/>
      <c r="H8" s="5"/>
      <c r="I8" s="5" t="str">
        <f ca="1">IFERROR(_xludf.XLOOKUP(H8,BD_VACANTES!A:A,BD_VACANTES!C:C,""),"")</f>
        <v/>
      </c>
      <c r="J8" s="5" t="str">
        <f ca="1">IFERROR(_xludf.XLOOKUP(H8,BD_VACANTES!A:A,BD_VACANTES!E:E,""),"")</f>
        <v/>
      </c>
      <c r="K8" s="5"/>
      <c r="L8" s="5"/>
      <c r="M8" s="5"/>
      <c r="N8" s="5"/>
      <c r="O8" s="5"/>
      <c r="P8" s="6"/>
      <c r="Q8" s="8" t="str">
        <f t="shared" ca="1" si="1"/>
        <v/>
      </c>
      <c r="R8" s="7"/>
      <c r="S8" s="5"/>
    </row>
    <row r="9" spans="1:19">
      <c r="A9" s="5" t="str">
        <f t="shared" si="0"/>
        <v/>
      </c>
      <c r="B9" s="6"/>
      <c r="C9" s="5"/>
      <c r="D9" s="5"/>
      <c r="E9" s="5"/>
      <c r="F9" s="5"/>
      <c r="G9" s="5"/>
      <c r="H9" s="5"/>
      <c r="I9" s="5" t="str">
        <f ca="1">IFERROR(_xludf.XLOOKUP(H9,BD_VACANTES!A:A,BD_VACANTES!C:C,""),"")</f>
        <v/>
      </c>
      <c r="J9" s="5" t="str">
        <f ca="1">IFERROR(_xludf.XLOOKUP(H9,BD_VACANTES!A:A,BD_VACANTES!E:E,""),"")</f>
        <v/>
      </c>
      <c r="K9" s="5"/>
      <c r="L9" s="5"/>
      <c r="M9" s="5"/>
      <c r="N9" s="5"/>
      <c r="O9" s="5"/>
      <c r="P9" s="6"/>
      <c r="Q9" s="8" t="str">
        <f t="shared" ca="1" si="1"/>
        <v/>
      </c>
      <c r="R9" s="7"/>
      <c r="S9" s="5"/>
    </row>
    <row r="10" spans="1:19">
      <c r="A10" s="5" t="str">
        <f t="shared" si="0"/>
        <v/>
      </c>
      <c r="B10" s="6"/>
      <c r="C10" s="5"/>
      <c r="D10" s="5"/>
      <c r="E10" s="5"/>
      <c r="F10" s="5"/>
      <c r="G10" s="5"/>
      <c r="H10" s="5"/>
      <c r="I10" s="5" t="str">
        <f ca="1">IFERROR(_xludf.XLOOKUP(H10,BD_VACANTES!A:A,BD_VACANTES!C:C,""),"")</f>
        <v/>
      </c>
      <c r="J10" s="5" t="str">
        <f ca="1">IFERROR(_xludf.XLOOKUP(H10,BD_VACANTES!A:A,BD_VACANTES!E:E,""),"")</f>
        <v/>
      </c>
      <c r="K10" s="5"/>
      <c r="L10" s="5"/>
      <c r="M10" s="5"/>
      <c r="N10" s="5"/>
      <c r="O10" s="5"/>
      <c r="P10" s="6"/>
      <c r="Q10" s="8" t="str">
        <f t="shared" ca="1" si="1"/>
        <v/>
      </c>
      <c r="R10" s="7"/>
      <c r="S10" s="5"/>
    </row>
    <row r="11" spans="1:19">
      <c r="A11" s="5" t="str">
        <f t="shared" si="0"/>
        <v/>
      </c>
      <c r="B11" s="6"/>
      <c r="C11" s="5"/>
      <c r="D11" s="5"/>
      <c r="E11" s="5"/>
      <c r="F11" s="5"/>
      <c r="G11" s="5"/>
      <c r="H11" s="5"/>
      <c r="I11" s="5" t="str">
        <f ca="1">IFERROR(_xludf.XLOOKUP(H11,BD_VACANTES!A:A,BD_VACANTES!C:C,""),"")</f>
        <v/>
      </c>
      <c r="J11" s="5" t="str">
        <f ca="1">IFERROR(_xludf.XLOOKUP(H11,BD_VACANTES!A:A,BD_VACANTES!E:E,""),"")</f>
        <v/>
      </c>
      <c r="K11" s="5"/>
      <c r="L11" s="5"/>
      <c r="M11" s="5"/>
      <c r="N11" s="5"/>
      <c r="O11" s="5"/>
      <c r="P11" s="6"/>
      <c r="Q11" s="8" t="str">
        <f t="shared" ca="1" si="1"/>
        <v/>
      </c>
      <c r="R11" s="7"/>
      <c r="S11" s="5"/>
    </row>
    <row r="12" spans="1:19">
      <c r="A12" s="5" t="str">
        <f t="shared" si="0"/>
        <v/>
      </c>
      <c r="B12" s="6"/>
      <c r="C12" s="5"/>
      <c r="D12" s="5"/>
      <c r="E12" s="5"/>
      <c r="F12" s="5"/>
      <c r="G12" s="5"/>
      <c r="H12" s="5"/>
      <c r="I12" s="5" t="str">
        <f ca="1">IFERROR(_xludf.XLOOKUP(H12,BD_VACANTES!A:A,BD_VACANTES!C:C,""),"")</f>
        <v/>
      </c>
      <c r="J12" s="5" t="str">
        <f ca="1">IFERROR(_xludf.XLOOKUP(H12,BD_VACANTES!A:A,BD_VACANTES!E:E,""),"")</f>
        <v/>
      </c>
      <c r="K12" s="5"/>
      <c r="L12" s="5"/>
      <c r="M12" s="5"/>
      <c r="N12" s="5"/>
      <c r="O12" s="5"/>
      <c r="P12" s="6"/>
      <c r="Q12" s="8" t="str">
        <f t="shared" ca="1" si="1"/>
        <v/>
      </c>
      <c r="R12" s="7"/>
      <c r="S12" s="5"/>
    </row>
    <row r="13" spans="1:19">
      <c r="A13" s="5" t="str">
        <f t="shared" si="0"/>
        <v/>
      </c>
      <c r="B13" s="6"/>
      <c r="C13" s="5"/>
      <c r="D13" s="5"/>
      <c r="E13" s="5"/>
      <c r="F13" s="5"/>
      <c r="G13" s="5"/>
      <c r="H13" s="5"/>
      <c r="I13" s="5" t="str">
        <f ca="1">IFERROR(_xludf.XLOOKUP(H13,BD_VACANTES!A:A,BD_VACANTES!C:C,""),"")</f>
        <v/>
      </c>
      <c r="J13" s="5" t="str">
        <f ca="1">IFERROR(_xludf.XLOOKUP(H13,BD_VACANTES!A:A,BD_VACANTES!E:E,""),"")</f>
        <v/>
      </c>
      <c r="K13" s="5"/>
      <c r="L13" s="5"/>
      <c r="M13" s="5"/>
      <c r="N13" s="5"/>
      <c r="O13" s="5"/>
      <c r="P13" s="6"/>
      <c r="Q13" s="8" t="str">
        <f t="shared" ca="1" si="1"/>
        <v/>
      </c>
      <c r="R13" s="7"/>
      <c r="S13" s="5"/>
    </row>
    <row r="14" spans="1:19">
      <c r="A14" s="5" t="str">
        <f t="shared" si="0"/>
        <v/>
      </c>
      <c r="B14" s="6"/>
      <c r="C14" s="5"/>
      <c r="D14" s="5"/>
      <c r="E14" s="5"/>
      <c r="F14" s="5"/>
      <c r="G14" s="5"/>
      <c r="H14" s="5"/>
      <c r="I14" s="5" t="str">
        <f ca="1">IFERROR(_xludf.XLOOKUP(H14,BD_VACANTES!A:A,BD_VACANTES!C:C,""),"")</f>
        <v/>
      </c>
      <c r="J14" s="5" t="str">
        <f ca="1">IFERROR(_xludf.XLOOKUP(H14,BD_VACANTES!A:A,BD_VACANTES!E:E,""),"")</f>
        <v/>
      </c>
      <c r="K14" s="5"/>
      <c r="L14" s="5"/>
      <c r="M14" s="5"/>
      <c r="N14" s="5"/>
      <c r="O14" s="5"/>
      <c r="P14" s="6"/>
      <c r="Q14" s="8" t="str">
        <f t="shared" ca="1" si="1"/>
        <v/>
      </c>
      <c r="R14" s="7"/>
      <c r="S14" s="5"/>
    </row>
    <row r="15" spans="1:19">
      <c r="A15" s="5" t="str">
        <f t="shared" si="0"/>
        <v/>
      </c>
      <c r="B15" s="6"/>
      <c r="C15" s="5"/>
      <c r="D15" s="5"/>
      <c r="E15" s="5"/>
      <c r="F15" s="5"/>
      <c r="G15" s="5"/>
      <c r="H15" s="5"/>
      <c r="I15" s="5" t="str">
        <f ca="1">IFERROR(_xludf.XLOOKUP(H15,BD_VACANTES!A:A,BD_VACANTES!C:C,""),"")</f>
        <v/>
      </c>
      <c r="J15" s="5" t="str">
        <f ca="1">IFERROR(_xludf.XLOOKUP(H15,BD_VACANTES!A:A,BD_VACANTES!E:E,""),"")</f>
        <v/>
      </c>
      <c r="K15" s="5"/>
      <c r="L15" s="5"/>
      <c r="M15" s="5"/>
      <c r="N15" s="5"/>
      <c r="O15" s="5"/>
      <c r="P15" s="6"/>
      <c r="Q15" s="8" t="str">
        <f t="shared" ca="1" si="1"/>
        <v/>
      </c>
      <c r="R15" s="7"/>
      <c r="S15" s="5"/>
    </row>
    <row r="16" spans="1:19">
      <c r="A16" s="5" t="str">
        <f t="shared" si="0"/>
        <v/>
      </c>
      <c r="B16" s="6"/>
      <c r="C16" s="5"/>
      <c r="D16" s="5"/>
      <c r="E16" s="5"/>
      <c r="F16" s="5"/>
      <c r="G16" s="5"/>
      <c r="H16" s="5"/>
      <c r="I16" s="5" t="str">
        <f ca="1">IFERROR(_xludf.XLOOKUP(H16,BD_VACANTES!A:A,BD_VACANTES!C:C,""),"")</f>
        <v/>
      </c>
      <c r="J16" s="5" t="str">
        <f ca="1">IFERROR(_xludf.XLOOKUP(H16,BD_VACANTES!A:A,BD_VACANTES!E:E,""),"")</f>
        <v/>
      </c>
      <c r="K16" s="5"/>
      <c r="L16" s="5"/>
      <c r="M16" s="5"/>
      <c r="N16" s="5"/>
      <c r="O16" s="5"/>
      <c r="P16" s="6"/>
      <c r="Q16" s="8" t="str">
        <f t="shared" ca="1" si="1"/>
        <v/>
      </c>
      <c r="R16" s="7"/>
      <c r="S16" s="5"/>
    </row>
    <row r="17" spans="1:19">
      <c r="A17" s="5" t="str">
        <f t="shared" si="0"/>
        <v/>
      </c>
      <c r="B17" s="6"/>
      <c r="C17" s="5"/>
      <c r="D17" s="5"/>
      <c r="E17" s="5"/>
      <c r="F17" s="5"/>
      <c r="G17" s="5"/>
      <c r="H17" s="5"/>
      <c r="I17" s="5" t="str">
        <f ca="1">IFERROR(_xludf.XLOOKUP(H17,BD_VACANTES!A:A,BD_VACANTES!C:C,""),"")</f>
        <v/>
      </c>
      <c r="J17" s="5" t="str">
        <f ca="1">IFERROR(_xludf.XLOOKUP(H17,BD_VACANTES!A:A,BD_VACANTES!E:E,""),"")</f>
        <v/>
      </c>
      <c r="K17" s="5"/>
      <c r="L17" s="5"/>
      <c r="M17" s="5"/>
      <c r="N17" s="5"/>
      <c r="O17" s="5"/>
      <c r="P17" s="6"/>
      <c r="Q17" s="8" t="str">
        <f t="shared" ca="1" si="1"/>
        <v/>
      </c>
      <c r="R17" s="7"/>
      <c r="S17" s="5"/>
    </row>
    <row r="18" spans="1:19">
      <c r="A18" s="5" t="str">
        <f t="shared" si="0"/>
        <v/>
      </c>
      <c r="B18" s="6"/>
      <c r="C18" s="5"/>
      <c r="D18" s="5"/>
      <c r="E18" s="5"/>
      <c r="F18" s="5"/>
      <c r="G18" s="5"/>
      <c r="H18" s="5"/>
      <c r="I18" s="5" t="str">
        <f ca="1">IFERROR(_xludf.XLOOKUP(H18,BD_VACANTES!A:A,BD_VACANTES!C:C,""),"")</f>
        <v/>
      </c>
      <c r="J18" s="5" t="str">
        <f ca="1">IFERROR(_xludf.XLOOKUP(H18,BD_VACANTES!A:A,BD_VACANTES!E:E,""),"")</f>
        <v/>
      </c>
      <c r="K18" s="5"/>
      <c r="L18" s="5"/>
      <c r="M18" s="5"/>
      <c r="N18" s="5"/>
      <c r="O18" s="5"/>
      <c r="P18" s="6"/>
      <c r="Q18" s="8" t="str">
        <f t="shared" ca="1" si="1"/>
        <v/>
      </c>
      <c r="R18" s="7"/>
      <c r="S18" s="5"/>
    </row>
    <row r="19" spans="1:19">
      <c r="A19" s="5" t="str">
        <f t="shared" si="0"/>
        <v/>
      </c>
      <c r="B19" s="6"/>
      <c r="C19" s="5"/>
      <c r="D19" s="5"/>
      <c r="E19" s="5"/>
      <c r="F19" s="5"/>
      <c r="G19" s="5"/>
      <c r="H19" s="5"/>
      <c r="I19" s="5" t="str">
        <f ca="1">IFERROR(_xludf.XLOOKUP(H19,BD_VACANTES!A:A,BD_VACANTES!C:C,""),"")</f>
        <v/>
      </c>
      <c r="J19" s="5" t="str">
        <f ca="1">IFERROR(_xludf.XLOOKUP(H19,BD_VACANTES!A:A,BD_VACANTES!E:E,""),"")</f>
        <v/>
      </c>
      <c r="K19" s="5"/>
      <c r="L19" s="5"/>
      <c r="M19" s="5"/>
      <c r="N19" s="5"/>
      <c r="O19" s="5"/>
      <c r="P19" s="6"/>
      <c r="Q19" s="8" t="str">
        <f t="shared" ca="1" si="1"/>
        <v/>
      </c>
      <c r="R19" s="7"/>
      <c r="S19" s="5"/>
    </row>
    <row r="20" spans="1:19">
      <c r="A20" s="5" t="str">
        <f t="shared" si="0"/>
        <v/>
      </c>
      <c r="B20" s="6"/>
      <c r="C20" s="5"/>
      <c r="D20" s="5"/>
      <c r="E20" s="5"/>
      <c r="F20" s="5"/>
      <c r="G20" s="5"/>
      <c r="H20" s="5"/>
      <c r="I20" s="5" t="str">
        <f ca="1">IFERROR(_xludf.XLOOKUP(H20,BD_VACANTES!A:A,BD_VACANTES!C:C,""),"")</f>
        <v/>
      </c>
      <c r="J20" s="5" t="str">
        <f ca="1">IFERROR(_xludf.XLOOKUP(H20,BD_VACANTES!A:A,BD_VACANTES!E:E,""),"")</f>
        <v/>
      </c>
      <c r="K20" s="5"/>
      <c r="L20" s="5"/>
      <c r="M20" s="5"/>
      <c r="N20" s="5"/>
      <c r="O20" s="5"/>
      <c r="P20" s="6"/>
      <c r="Q20" s="8" t="str">
        <f t="shared" ca="1" si="1"/>
        <v/>
      </c>
      <c r="R20" s="7"/>
      <c r="S20" s="5"/>
    </row>
    <row r="21" spans="1:19">
      <c r="A21" s="5" t="str">
        <f t="shared" si="0"/>
        <v/>
      </c>
      <c r="B21" s="6"/>
      <c r="C21" s="5"/>
      <c r="D21" s="5"/>
      <c r="E21" s="5"/>
      <c r="F21" s="5"/>
      <c r="G21" s="5"/>
      <c r="H21" s="5"/>
      <c r="I21" s="5" t="str">
        <f ca="1">IFERROR(_xludf.XLOOKUP(H21,BD_VACANTES!A:A,BD_VACANTES!C:C,""),"")</f>
        <v/>
      </c>
      <c r="J21" s="5" t="str">
        <f ca="1">IFERROR(_xludf.XLOOKUP(H21,BD_VACANTES!A:A,BD_VACANTES!E:E,""),"")</f>
        <v/>
      </c>
      <c r="K21" s="5"/>
      <c r="L21" s="5"/>
      <c r="M21" s="5"/>
      <c r="N21" s="5"/>
      <c r="O21" s="5"/>
      <c r="P21" s="6"/>
      <c r="Q21" s="8" t="str">
        <f t="shared" ca="1" si="1"/>
        <v/>
      </c>
      <c r="R21" s="7"/>
      <c r="S21" s="5"/>
    </row>
    <row r="22" spans="1:19">
      <c r="A22" s="5" t="str">
        <f t="shared" si="0"/>
        <v/>
      </c>
      <c r="B22" s="6"/>
      <c r="C22" s="5"/>
      <c r="D22" s="5"/>
      <c r="E22" s="5"/>
      <c r="F22" s="5"/>
      <c r="G22" s="5"/>
      <c r="H22" s="5"/>
      <c r="I22" s="5" t="str">
        <f ca="1">IFERROR(_xludf.XLOOKUP(H22,BD_VACANTES!A:A,BD_VACANTES!C:C,""),"")</f>
        <v/>
      </c>
      <c r="J22" s="5" t="str">
        <f ca="1">IFERROR(_xludf.XLOOKUP(H22,BD_VACANTES!A:A,BD_VACANTES!E:E,""),"")</f>
        <v/>
      </c>
      <c r="K22" s="5"/>
      <c r="L22" s="5"/>
      <c r="M22" s="5"/>
      <c r="N22" s="5"/>
      <c r="O22" s="5"/>
      <c r="P22" s="6"/>
      <c r="Q22" s="8" t="str">
        <f t="shared" ca="1" si="1"/>
        <v/>
      </c>
      <c r="R22" s="7"/>
      <c r="S22" s="5"/>
    </row>
    <row r="23" spans="1:19">
      <c r="A23" s="5" t="str">
        <f t="shared" si="0"/>
        <v/>
      </c>
      <c r="B23" s="6"/>
      <c r="C23" s="5"/>
      <c r="D23" s="5"/>
      <c r="E23" s="5"/>
      <c r="F23" s="5"/>
      <c r="G23" s="5"/>
      <c r="H23" s="5"/>
      <c r="I23" s="5" t="str">
        <f ca="1">IFERROR(_xludf.XLOOKUP(H23,BD_VACANTES!A:A,BD_VACANTES!C:C,""),"")</f>
        <v/>
      </c>
      <c r="J23" s="5" t="str">
        <f ca="1">IFERROR(_xludf.XLOOKUP(H23,BD_VACANTES!A:A,BD_VACANTES!E:E,""),"")</f>
        <v/>
      </c>
      <c r="K23" s="5"/>
      <c r="L23" s="5"/>
      <c r="M23" s="5"/>
      <c r="N23" s="5"/>
      <c r="O23" s="5"/>
      <c r="P23" s="6"/>
      <c r="Q23" s="8" t="str">
        <f t="shared" ca="1" si="1"/>
        <v/>
      </c>
      <c r="R23" s="7"/>
      <c r="S23" s="5"/>
    </row>
    <row r="24" spans="1:19">
      <c r="A24" s="5" t="str">
        <f t="shared" si="0"/>
        <v/>
      </c>
      <c r="B24" s="6"/>
      <c r="C24" s="5"/>
      <c r="D24" s="5"/>
      <c r="E24" s="5"/>
      <c r="F24" s="5"/>
      <c r="G24" s="5"/>
      <c r="H24" s="5"/>
      <c r="I24" s="5" t="str">
        <f ca="1">IFERROR(_xludf.XLOOKUP(H24,BD_VACANTES!A:A,BD_VACANTES!C:C,""),"")</f>
        <v/>
      </c>
      <c r="J24" s="5" t="str">
        <f ca="1">IFERROR(_xludf.XLOOKUP(H24,BD_VACANTES!A:A,BD_VACANTES!E:E,""),"")</f>
        <v/>
      </c>
      <c r="K24" s="5"/>
      <c r="L24" s="5"/>
      <c r="M24" s="5"/>
      <c r="N24" s="5"/>
      <c r="O24" s="5"/>
      <c r="P24" s="6"/>
      <c r="Q24" s="8" t="str">
        <f t="shared" ca="1" si="1"/>
        <v/>
      </c>
      <c r="R24" s="7"/>
      <c r="S24" s="5"/>
    </row>
    <row r="25" spans="1:19">
      <c r="A25" s="5" t="str">
        <f t="shared" si="0"/>
        <v/>
      </c>
      <c r="B25" s="6"/>
      <c r="C25" s="5"/>
      <c r="D25" s="5"/>
      <c r="E25" s="5"/>
      <c r="F25" s="5"/>
      <c r="G25" s="5"/>
      <c r="H25" s="5"/>
      <c r="I25" s="5" t="str">
        <f ca="1">IFERROR(_xludf.XLOOKUP(H25,BD_VACANTES!A:A,BD_VACANTES!C:C,""),"")</f>
        <v/>
      </c>
      <c r="J25" s="5" t="str">
        <f ca="1">IFERROR(_xludf.XLOOKUP(H25,BD_VACANTES!A:A,BD_VACANTES!E:E,""),"")</f>
        <v/>
      </c>
      <c r="K25" s="5"/>
      <c r="L25" s="5"/>
      <c r="M25" s="5"/>
      <c r="N25" s="5"/>
      <c r="O25" s="5"/>
      <c r="P25" s="6"/>
      <c r="Q25" s="8" t="str">
        <f t="shared" ca="1" si="1"/>
        <v/>
      </c>
      <c r="R25" s="7"/>
      <c r="S25" s="5"/>
    </row>
    <row r="26" spans="1:19">
      <c r="A26" s="5" t="str">
        <f t="shared" si="0"/>
        <v/>
      </c>
      <c r="B26" s="6"/>
      <c r="C26" s="5"/>
      <c r="D26" s="5"/>
      <c r="E26" s="5"/>
      <c r="F26" s="5"/>
      <c r="G26" s="5"/>
      <c r="H26" s="5"/>
      <c r="I26" s="5" t="str">
        <f ca="1">IFERROR(_xludf.XLOOKUP(H26,BD_VACANTES!A:A,BD_VACANTES!C:C,""),"")</f>
        <v/>
      </c>
      <c r="J26" s="5" t="str">
        <f ca="1">IFERROR(_xludf.XLOOKUP(H26,BD_VACANTES!A:A,BD_VACANTES!E:E,""),"")</f>
        <v/>
      </c>
      <c r="K26" s="5"/>
      <c r="L26" s="5"/>
      <c r="M26" s="5"/>
      <c r="N26" s="5"/>
      <c r="O26" s="5"/>
      <c r="P26" s="6"/>
      <c r="Q26" s="8" t="str">
        <f t="shared" ca="1" si="1"/>
        <v/>
      </c>
      <c r="R26" s="7"/>
      <c r="S26" s="5"/>
    </row>
    <row r="27" spans="1:19">
      <c r="A27" s="5" t="str">
        <f t="shared" si="0"/>
        <v/>
      </c>
      <c r="B27" s="6"/>
      <c r="C27" s="5"/>
      <c r="D27" s="5"/>
      <c r="E27" s="5"/>
      <c r="F27" s="5"/>
      <c r="G27" s="5"/>
      <c r="H27" s="5"/>
      <c r="I27" s="5" t="str">
        <f ca="1">IFERROR(_xludf.XLOOKUP(H27,BD_VACANTES!A:A,BD_VACANTES!C:C,""),"")</f>
        <v/>
      </c>
      <c r="J27" s="5" t="str">
        <f ca="1">IFERROR(_xludf.XLOOKUP(H27,BD_VACANTES!A:A,BD_VACANTES!E:E,""),"")</f>
        <v/>
      </c>
      <c r="K27" s="5"/>
      <c r="L27" s="5"/>
      <c r="M27" s="5"/>
      <c r="N27" s="5"/>
      <c r="O27" s="5"/>
      <c r="P27" s="6"/>
      <c r="Q27" s="8" t="str">
        <f t="shared" ca="1" si="1"/>
        <v/>
      </c>
      <c r="R27" s="7"/>
      <c r="S27" s="5"/>
    </row>
    <row r="28" spans="1:19">
      <c r="A28" s="5" t="str">
        <f t="shared" si="0"/>
        <v/>
      </c>
      <c r="B28" s="6"/>
      <c r="C28" s="5"/>
      <c r="D28" s="5"/>
      <c r="E28" s="5"/>
      <c r="F28" s="5"/>
      <c r="G28" s="5"/>
      <c r="H28" s="5"/>
      <c r="I28" s="5" t="str">
        <f ca="1">IFERROR(_xludf.XLOOKUP(H28,BD_VACANTES!A:A,BD_VACANTES!C:C,""),"")</f>
        <v/>
      </c>
      <c r="J28" s="5" t="str">
        <f ca="1">IFERROR(_xludf.XLOOKUP(H28,BD_VACANTES!A:A,BD_VACANTES!E:E,""),"")</f>
        <v/>
      </c>
      <c r="K28" s="5"/>
      <c r="L28" s="5"/>
      <c r="M28" s="5"/>
      <c r="N28" s="5"/>
      <c r="O28" s="5"/>
      <c r="P28" s="6"/>
      <c r="Q28" s="8" t="str">
        <f t="shared" ca="1" si="1"/>
        <v/>
      </c>
      <c r="R28" s="7"/>
      <c r="S28" s="5"/>
    </row>
    <row r="29" spans="1:19">
      <c r="A29" s="5" t="str">
        <f t="shared" si="0"/>
        <v/>
      </c>
      <c r="B29" s="6"/>
      <c r="C29" s="5"/>
      <c r="D29" s="5"/>
      <c r="E29" s="5"/>
      <c r="F29" s="5"/>
      <c r="G29" s="5"/>
      <c r="H29" s="5"/>
      <c r="I29" s="5" t="str">
        <f ca="1">IFERROR(_xludf.XLOOKUP(H29,BD_VACANTES!A:A,BD_VACANTES!C:C,""),"")</f>
        <v/>
      </c>
      <c r="J29" s="5" t="str">
        <f ca="1">IFERROR(_xludf.XLOOKUP(H29,BD_VACANTES!A:A,BD_VACANTES!E:E,""),"")</f>
        <v/>
      </c>
      <c r="K29" s="5"/>
      <c r="L29" s="5"/>
      <c r="M29" s="5"/>
      <c r="N29" s="5"/>
      <c r="O29" s="5"/>
      <c r="P29" s="6"/>
      <c r="Q29" s="8" t="str">
        <f t="shared" ca="1" si="1"/>
        <v/>
      </c>
      <c r="R29" s="7"/>
      <c r="S29" s="5"/>
    </row>
    <row r="30" spans="1:19">
      <c r="A30" s="5" t="str">
        <f t="shared" si="0"/>
        <v/>
      </c>
      <c r="B30" s="6"/>
      <c r="C30" s="5"/>
      <c r="D30" s="5"/>
      <c r="E30" s="5"/>
      <c r="F30" s="5"/>
      <c r="G30" s="5"/>
      <c r="H30" s="5"/>
      <c r="I30" s="5" t="str">
        <f ca="1">IFERROR(_xludf.XLOOKUP(H30,BD_VACANTES!A:A,BD_VACANTES!C:C,""),"")</f>
        <v/>
      </c>
      <c r="J30" s="5" t="str">
        <f ca="1">IFERROR(_xludf.XLOOKUP(H30,BD_VACANTES!A:A,BD_VACANTES!E:E,""),"")</f>
        <v/>
      </c>
      <c r="K30" s="5"/>
      <c r="L30" s="5"/>
      <c r="M30" s="5"/>
      <c r="N30" s="5"/>
      <c r="O30" s="5"/>
      <c r="P30" s="6"/>
      <c r="Q30" s="8" t="str">
        <f t="shared" ca="1" si="1"/>
        <v/>
      </c>
      <c r="R30" s="7"/>
      <c r="S30" s="5"/>
    </row>
    <row r="31" spans="1:19">
      <c r="A31" s="5" t="str">
        <f t="shared" si="0"/>
        <v/>
      </c>
      <c r="B31" s="6"/>
      <c r="C31" s="5"/>
      <c r="D31" s="5"/>
      <c r="E31" s="5"/>
      <c r="F31" s="5"/>
      <c r="G31" s="5"/>
      <c r="H31" s="5"/>
      <c r="I31" s="5" t="str">
        <f ca="1">IFERROR(_xludf.XLOOKUP(H31,BD_VACANTES!A:A,BD_VACANTES!C:C,""),"")</f>
        <v/>
      </c>
      <c r="J31" s="5" t="str">
        <f ca="1">IFERROR(_xludf.XLOOKUP(H31,BD_VACANTES!A:A,BD_VACANTES!E:E,""),"")</f>
        <v/>
      </c>
      <c r="K31" s="5"/>
      <c r="L31" s="5"/>
      <c r="M31" s="5"/>
      <c r="N31" s="5"/>
      <c r="O31" s="5"/>
      <c r="P31" s="6"/>
      <c r="Q31" s="8" t="str">
        <f t="shared" ca="1" si="1"/>
        <v/>
      </c>
      <c r="R31" s="7"/>
      <c r="S31" s="5"/>
    </row>
    <row r="32" spans="1:19">
      <c r="A32" s="5" t="str">
        <f t="shared" si="0"/>
        <v/>
      </c>
      <c r="B32" s="6"/>
      <c r="C32" s="5"/>
      <c r="D32" s="5"/>
      <c r="E32" s="5"/>
      <c r="F32" s="5"/>
      <c r="G32" s="5"/>
      <c r="H32" s="5"/>
      <c r="I32" s="5" t="str">
        <f ca="1">IFERROR(_xludf.XLOOKUP(H32,BD_VACANTES!A:A,BD_VACANTES!C:C,""),"")</f>
        <v/>
      </c>
      <c r="J32" s="5" t="str">
        <f ca="1">IFERROR(_xludf.XLOOKUP(H32,BD_VACANTES!A:A,BD_VACANTES!E:E,""),"")</f>
        <v/>
      </c>
      <c r="K32" s="5"/>
      <c r="L32" s="5"/>
      <c r="M32" s="5"/>
      <c r="N32" s="5"/>
      <c r="O32" s="5"/>
      <c r="P32" s="6"/>
      <c r="Q32" s="8" t="str">
        <f t="shared" ca="1" si="1"/>
        <v/>
      </c>
      <c r="R32" s="7"/>
      <c r="S32" s="5"/>
    </row>
    <row r="33" spans="1:19">
      <c r="A33" s="5" t="str">
        <f t="shared" si="0"/>
        <v/>
      </c>
      <c r="B33" s="6"/>
      <c r="C33" s="5"/>
      <c r="D33" s="5"/>
      <c r="E33" s="5"/>
      <c r="F33" s="5"/>
      <c r="G33" s="5"/>
      <c r="H33" s="5"/>
      <c r="I33" s="5" t="str">
        <f ca="1">IFERROR(_xludf.XLOOKUP(H33,BD_VACANTES!A:A,BD_VACANTES!C:C,""),"")</f>
        <v/>
      </c>
      <c r="J33" s="5" t="str">
        <f ca="1">IFERROR(_xludf.XLOOKUP(H33,BD_VACANTES!A:A,BD_VACANTES!E:E,""),"")</f>
        <v/>
      </c>
      <c r="K33" s="5"/>
      <c r="L33" s="5"/>
      <c r="M33" s="5"/>
      <c r="N33" s="5"/>
      <c r="O33" s="5"/>
      <c r="P33" s="6"/>
      <c r="Q33" s="8" t="str">
        <f t="shared" ca="1" si="1"/>
        <v/>
      </c>
      <c r="R33" s="7"/>
      <c r="S33" s="5"/>
    </row>
    <row r="34" spans="1:19">
      <c r="A34" s="5" t="str">
        <f t="shared" si="0"/>
        <v/>
      </c>
      <c r="B34" s="6"/>
      <c r="C34" s="5"/>
      <c r="D34" s="5"/>
      <c r="E34" s="5"/>
      <c r="F34" s="5"/>
      <c r="G34" s="5"/>
      <c r="H34" s="5"/>
      <c r="I34" s="5" t="str">
        <f ca="1">IFERROR(_xludf.XLOOKUP(H34,BD_VACANTES!A:A,BD_VACANTES!C:C,""),"")</f>
        <v/>
      </c>
      <c r="J34" s="5" t="str">
        <f ca="1">IFERROR(_xludf.XLOOKUP(H34,BD_VACANTES!A:A,BD_VACANTES!E:E,""),"")</f>
        <v/>
      </c>
      <c r="K34" s="5"/>
      <c r="L34" s="5"/>
      <c r="M34" s="5"/>
      <c r="N34" s="5"/>
      <c r="O34" s="5"/>
      <c r="P34" s="6"/>
      <c r="Q34" s="8" t="str">
        <f t="shared" ca="1" si="1"/>
        <v/>
      </c>
      <c r="R34" s="7"/>
      <c r="S34" s="5"/>
    </row>
    <row r="35" spans="1:19">
      <c r="A35" s="5" t="str">
        <f t="shared" si="0"/>
        <v/>
      </c>
      <c r="B35" s="6"/>
      <c r="C35" s="5"/>
      <c r="D35" s="5"/>
      <c r="E35" s="5"/>
      <c r="F35" s="5"/>
      <c r="G35" s="5"/>
      <c r="H35" s="5"/>
      <c r="I35" s="5" t="str">
        <f ca="1">IFERROR(_xludf.XLOOKUP(H35,BD_VACANTES!A:A,BD_VACANTES!C:C,""),"")</f>
        <v/>
      </c>
      <c r="J35" s="5" t="str">
        <f ca="1">IFERROR(_xludf.XLOOKUP(H35,BD_VACANTES!A:A,BD_VACANTES!E:E,""),"")</f>
        <v/>
      </c>
      <c r="K35" s="5"/>
      <c r="L35" s="5"/>
      <c r="M35" s="5"/>
      <c r="N35" s="5"/>
      <c r="O35" s="5"/>
      <c r="P35" s="6"/>
      <c r="Q35" s="8" t="str">
        <f t="shared" ca="1" si="1"/>
        <v/>
      </c>
      <c r="R35" s="7"/>
      <c r="S35" s="5"/>
    </row>
    <row r="36" spans="1:19">
      <c r="A36" s="5" t="str">
        <f t="shared" si="0"/>
        <v/>
      </c>
      <c r="B36" s="6"/>
      <c r="C36" s="5"/>
      <c r="D36" s="5"/>
      <c r="E36" s="5"/>
      <c r="F36" s="5"/>
      <c r="G36" s="5"/>
      <c r="H36" s="5"/>
      <c r="I36" s="5" t="str">
        <f ca="1">IFERROR(_xludf.XLOOKUP(H36,BD_VACANTES!A:A,BD_VACANTES!C:C,""),"")</f>
        <v/>
      </c>
      <c r="J36" s="5" t="str">
        <f ca="1">IFERROR(_xludf.XLOOKUP(H36,BD_VACANTES!A:A,BD_VACANTES!E:E,""),"")</f>
        <v/>
      </c>
      <c r="K36" s="5"/>
      <c r="L36" s="5"/>
      <c r="M36" s="5"/>
      <c r="N36" s="5"/>
      <c r="O36" s="5"/>
      <c r="P36" s="6"/>
      <c r="Q36" s="8" t="str">
        <f t="shared" ca="1" si="1"/>
        <v/>
      </c>
      <c r="R36" s="7"/>
      <c r="S36" s="5"/>
    </row>
    <row r="37" spans="1:19">
      <c r="A37" s="5" t="str">
        <f t="shared" si="0"/>
        <v/>
      </c>
      <c r="B37" s="6"/>
      <c r="C37" s="5"/>
      <c r="D37" s="5"/>
      <c r="E37" s="5"/>
      <c r="F37" s="5"/>
      <c r="G37" s="5"/>
      <c r="H37" s="5"/>
      <c r="I37" s="5" t="str">
        <f ca="1">IFERROR(_xludf.XLOOKUP(H37,BD_VACANTES!A:A,BD_VACANTES!C:C,""),"")</f>
        <v/>
      </c>
      <c r="J37" s="5" t="str">
        <f ca="1">IFERROR(_xludf.XLOOKUP(H37,BD_VACANTES!A:A,BD_VACANTES!E:E,""),"")</f>
        <v/>
      </c>
      <c r="K37" s="5"/>
      <c r="L37" s="5"/>
      <c r="M37" s="5"/>
      <c r="N37" s="5"/>
      <c r="O37" s="5"/>
      <c r="P37" s="6"/>
      <c r="Q37" s="8" t="str">
        <f t="shared" ca="1" si="1"/>
        <v/>
      </c>
      <c r="R37" s="7"/>
      <c r="S37" s="5"/>
    </row>
    <row r="38" spans="1:19">
      <c r="A38" s="5" t="str">
        <f t="shared" si="0"/>
        <v/>
      </c>
      <c r="B38" s="6"/>
      <c r="C38" s="5"/>
      <c r="D38" s="5"/>
      <c r="E38" s="5"/>
      <c r="F38" s="5"/>
      <c r="G38" s="5"/>
      <c r="H38" s="5"/>
      <c r="I38" s="5" t="str">
        <f ca="1">IFERROR(_xludf.XLOOKUP(H38,BD_VACANTES!A:A,BD_VACANTES!C:C,""),"")</f>
        <v/>
      </c>
      <c r="J38" s="5" t="str">
        <f ca="1">IFERROR(_xludf.XLOOKUP(H38,BD_VACANTES!A:A,BD_VACANTES!E:E,""),"")</f>
        <v/>
      </c>
      <c r="K38" s="5"/>
      <c r="L38" s="5"/>
      <c r="M38" s="5"/>
      <c r="N38" s="5"/>
      <c r="O38" s="5"/>
      <c r="P38" s="6"/>
      <c r="Q38" s="8" t="str">
        <f t="shared" ca="1" si="1"/>
        <v/>
      </c>
      <c r="R38" s="7"/>
      <c r="S38" s="5"/>
    </row>
    <row r="39" spans="1:19">
      <c r="A39" s="5" t="str">
        <f t="shared" si="0"/>
        <v/>
      </c>
      <c r="B39" s="6"/>
      <c r="C39" s="5"/>
      <c r="D39" s="5"/>
      <c r="E39" s="5"/>
      <c r="F39" s="5"/>
      <c r="G39" s="5"/>
      <c r="H39" s="5"/>
      <c r="I39" s="5" t="str">
        <f ca="1">IFERROR(_xludf.XLOOKUP(H39,BD_VACANTES!A:A,BD_VACANTES!C:C,""),"")</f>
        <v/>
      </c>
      <c r="J39" s="5" t="str">
        <f ca="1">IFERROR(_xludf.XLOOKUP(H39,BD_VACANTES!A:A,BD_VACANTES!E:E,""),"")</f>
        <v/>
      </c>
      <c r="K39" s="5"/>
      <c r="L39" s="5"/>
      <c r="M39" s="5"/>
      <c r="N39" s="5"/>
      <c r="O39" s="5"/>
      <c r="P39" s="6"/>
      <c r="Q39" s="8" t="str">
        <f t="shared" ca="1" si="1"/>
        <v/>
      </c>
      <c r="R39" s="7"/>
      <c r="S39" s="5"/>
    </row>
    <row r="40" spans="1:19">
      <c r="A40" s="5" t="str">
        <f t="shared" si="0"/>
        <v/>
      </c>
      <c r="B40" s="6"/>
      <c r="C40" s="5"/>
      <c r="D40" s="5"/>
      <c r="E40" s="5"/>
      <c r="F40" s="5"/>
      <c r="G40" s="5"/>
      <c r="H40" s="5"/>
      <c r="I40" s="5" t="str">
        <f ca="1">IFERROR(_xludf.XLOOKUP(H40,BD_VACANTES!A:A,BD_VACANTES!C:C,""),"")</f>
        <v/>
      </c>
      <c r="J40" s="5" t="str">
        <f ca="1">IFERROR(_xludf.XLOOKUP(H40,BD_VACANTES!A:A,BD_VACANTES!E:E,""),"")</f>
        <v/>
      </c>
      <c r="K40" s="5"/>
      <c r="L40" s="5"/>
      <c r="M40" s="5"/>
      <c r="N40" s="5"/>
      <c r="O40" s="5"/>
      <c r="P40" s="6"/>
      <c r="Q40" s="8" t="str">
        <f t="shared" ca="1" si="1"/>
        <v/>
      </c>
      <c r="R40" s="7"/>
      <c r="S40" s="5"/>
    </row>
    <row r="41" spans="1:19">
      <c r="A41" s="5" t="str">
        <f t="shared" si="0"/>
        <v/>
      </c>
      <c r="B41" s="6"/>
      <c r="C41" s="5"/>
      <c r="D41" s="5"/>
      <c r="E41" s="5"/>
      <c r="F41" s="5"/>
      <c r="G41" s="5"/>
      <c r="H41" s="5"/>
      <c r="I41" s="5" t="str">
        <f ca="1">IFERROR(_xludf.XLOOKUP(H41,BD_VACANTES!A:A,BD_VACANTES!C:C,""),"")</f>
        <v/>
      </c>
      <c r="J41" s="5" t="str">
        <f ca="1">IFERROR(_xludf.XLOOKUP(H41,BD_VACANTES!A:A,BD_VACANTES!E:E,""),"")</f>
        <v/>
      </c>
      <c r="K41" s="5"/>
      <c r="L41" s="5"/>
      <c r="M41" s="5"/>
      <c r="N41" s="5"/>
      <c r="O41" s="5"/>
      <c r="P41" s="6"/>
      <c r="Q41" s="8" t="str">
        <f t="shared" ca="1" si="1"/>
        <v/>
      </c>
      <c r="R41" s="7"/>
      <c r="S41" s="5"/>
    </row>
    <row r="42" spans="1:19">
      <c r="A42" s="5" t="str">
        <f t="shared" si="0"/>
        <v/>
      </c>
      <c r="B42" s="6"/>
      <c r="C42" s="5"/>
      <c r="D42" s="5"/>
      <c r="E42" s="5"/>
      <c r="F42" s="5"/>
      <c r="G42" s="5"/>
      <c r="H42" s="5"/>
      <c r="I42" s="5" t="str">
        <f ca="1">IFERROR(_xludf.XLOOKUP(H42,BD_VACANTES!A:A,BD_VACANTES!C:C,""),"")</f>
        <v/>
      </c>
      <c r="J42" s="5" t="str">
        <f ca="1">IFERROR(_xludf.XLOOKUP(H42,BD_VACANTES!A:A,BD_VACANTES!E:E,""),"")</f>
        <v/>
      </c>
      <c r="K42" s="5"/>
      <c r="L42" s="5"/>
      <c r="M42" s="5"/>
      <c r="N42" s="5"/>
      <c r="O42" s="5"/>
      <c r="P42" s="6"/>
      <c r="Q42" s="8" t="str">
        <f t="shared" ca="1" si="1"/>
        <v/>
      </c>
      <c r="R42" s="7"/>
      <c r="S42" s="5"/>
    </row>
    <row r="43" spans="1:19">
      <c r="A43" s="5" t="str">
        <f t="shared" si="0"/>
        <v/>
      </c>
      <c r="B43" s="6"/>
      <c r="C43" s="5"/>
      <c r="D43" s="5"/>
      <c r="E43" s="5"/>
      <c r="F43" s="5"/>
      <c r="G43" s="5"/>
      <c r="H43" s="5"/>
      <c r="I43" s="5" t="str">
        <f ca="1">IFERROR(_xludf.XLOOKUP(H43,BD_VACANTES!A:A,BD_VACANTES!C:C,""),"")</f>
        <v/>
      </c>
      <c r="J43" s="5" t="str">
        <f ca="1">IFERROR(_xludf.XLOOKUP(H43,BD_VACANTES!A:A,BD_VACANTES!E:E,""),"")</f>
        <v/>
      </c>
      <c r="K43" s="5"/>
      <c r="L43" s="5"/>
      <c r="M43" s="5"/>
      <c r="N43" s="5"/>
      <c r="O43" s="5"/>
      <c r="P43" s="6"/>
      <c r="Q43" s="8" t="str">
        <f t="shared" ca="1" si="1"/>
        <v/>
      </c>
      <c r="R43" s="7"/>
      <c r="S43" s="5"/>
    </row>
    <row r="44" spans="1:19">
      <c r="A44" s="5" t="str">
        <f t="shared" si="0"/>
        <v/>
      </c>
      <c r="B44" s="6"/>
      <c r="C44" s="5"/>
      <c r="D44" s="5"/>
      <c r="E44" s="5"/>
      <c r="F44" s="5"/>
      <c r="G44" s="5"/>
      <c r="H44" s="5"/>
      <c r="I44" s="5" t="str">
        <f ca="1">IFERROR(_xludf.XLOOKUP(H44,BD_VACANTES!A:A,BD_VACANTES!C:C,""),"")</f>
        <v/>
      </c>
      <c r="J44" s="5" t="str">
        <f ca="1">IFERROR(_xludf.XLOOKUP(H44,BD_VACANTES!A:A,BD_VACANTES!E:E,""),"")</f>
        <v/>
      </c>
      <c r="K44" s="5"/>
      <c r="L44" s="5"/>
      <c r="M44" s="5"/>
      <c r="N44" s="5"/>
      <c r="O44" s="5"/>
      <c r="P44" s="6"/>
      <c r="Q44" s="8" t="str">
        <f t="shared" ca="1" si="1"/>
        <v/>
      </c>
      <c r="R44" s="7"/>
      <c r="S44" s="5"/>
    </row>
    <row r="45" spans="1:19">
      <c r="A45" s="5" t="str">
        <f t="shared" si="0"/>
        <v/>
      </c>
      <c r="B45" s="6"/>
      <c r="C45" s="5"/>
      <c r="D45" s="5"/>
      <c r="E45" s="5"/>
      <c r="F45" s="5"/>
      <c r="G45" s="5"/>
      <c r="H45" s="5"/>
      <c r="I45" s="5" t="str">
        <f ca="1">IFERROR(_xludf.XLOOKUP(H45,BD_VACANTES!A:A,BD_VACANTES!C:C,""),"")</f>
        <v/>
      </c>
      <c r="J45" s="5" t="str">
        <f ca="1">IFERROR(_xludf.XLOOKUP(H45,BD_VACANTES!A:A,BD_VACANTES!E:E,""),"")</f>
        <v/>
      </c>
      <c r="K45" s="5"/>
      <c r="L45" s="5"/>
      <c r="M45" s="5"/>
      <c r="N45" s="5"/>
      <c r="O45" s="5"/>
      <c r="P45" s="6"/>
      <c r="Q45" s="8" t="str">
        <f t="shared" ca="1" si="1"/>
        <v/>
      </c>
      <c r="R45" s="7"/>
      <c r="S45" s="5"/>
    </row>
    <row r="46" spans="1:19">
      <c r="A46" s="5" t="str">
        <f t="shared" si="0"/>
        <v/>
      </c>
      <c r="B46" s="6"/>
      <c r="C46" s="5"/>
      <c r="D46" s="5"/>
      <c r="E46" s="5"/>
      <c r="F46" s="5"/>
      <c r="G46" s="5"/>
      <c r="H46" s="5"/>
      <c r="I46" s="5" t="str">
        <f ca="1">IFERROR(_xludf.XLOOKUP(H46,BD_VACANTES!A:A,BD_VACANTES!C:C,""),"")</f>
        <v/>
      </c>
      <c r="J46" s="5" t="str">
        <f ca="1">IFERROR(_xludf.XLOOKUP(H46,BD_VACANTES!A:A,BD_VACANTES!E:E,""),"")</f>
        <v/>
      </c>
      <c r="K46" s="5"/>
      <c r="L46" s="5"/>
      <c r="M46" s="5"/>
      <c r="N46" s="5"/>
      <c r="O46" s="5"/>
      <c r="P46" s="6"/>
      <c r="Q46" s="8" t="str">
        <f t="shared" ca="1" si="1"/>
        <v/>
      </c>
      <c r="R46" s="7"/>
      <c r="S46" s="5"/>
    </row>
    <row r="47" spans="1:19">
      <c r="A47" s="5" t="str">
        <f t="shared" si="0"/>
        <v/>
      </c>
      <c r="B47" s="6"/>
      <c r="C47" s="5"/>
      <c r="D47" s="5"/>
      <c r="E47" s="5"/>
      <c r="F47" s="5"/>
      <c r="G47" s="5"/>
      <c r="H47" s="5"/>
      <c r="I47" s="5" t="str">
        <f ca="1">IFERROR(_xludf.XLOOKUP(H47,BD_VACANTES!A:A,BD_VACANTES!C:C,""),"")</f>
        <v/>
      </c>
      <c r="J47" s="5" t="str">
        <f ca="1">IFERROR(_xludf.XLOOKUP(H47,BD_VACANTES!A:A,BD_VACANTES!E:E,""),"")</f>
        <v/>
      </c>
      <c r="K47" s="5"/>
      <c r="L47" s="5"/>
      <c r="M47" s="5"/>
      <c r="N47" s="5"/>
      <c r="O47" s="5"/>
      <c r="P47" s="6"/>
      <c r="Q47" s="8" t="str">
        <f t="shared" ca="1" si="1"/>
        <v/>
      </c>
      <c r="R47" s="7"/>
      <c r="S47" s="5"/>
    </row>
    <row r="48" spans="1:19">
      <c r="A48" s="5" t="str">
        <f t="shared" si="0"/>
        <v/>
      </c>
      <c r="B48" s="6"/>
      <c r="C48" s="5"/>
      <c r="D48" s="5"/>
      <c r="E48" s="5"/>
      <c r="F48" s="5"/>
      <c r="G48" s="5"/>
      <c r="H48" s="5"/>
      <c r="I48" s="5" t="str">
        <f ca="1">IFERROR(_xludf.XLOOKUP(H48,BD_VACANTES!A:A,BD_VACANTES!C:C,""),"")</f>
        <v/>
      </c>
      <c r="J48" s="5" t="str">
        <f ca="1">IFERROR(_xludf.XLOOKUP(H48,BD_VACANTES!A:A,BD_VACANTES!E:E,""),"")</f>
        <v/>
      </c>
      <c r="K48" s="5"/>
      <c r="L48" s="5"/>
      <c r="M48" s="5"/>
      <c r="N48" s="5"/>
      <c r="O48" s="5"/>
      <c r="P48" s="6"/>
      <c r="Q48" s="8" t="str">
        <f t="shared" ca="1" si="1"/>
        <v/>
      </c>
      <c r="R48" s="7"/>
      <c r="S48" s="5"/>
    </row>
    <row r="49" spans="1:19">
      <c r="A49" s="5" t="str">
        <f t="shared" si="0"/>
        <v/>
      </c>
      <c r="B49" s="6"/>
      <c r="C49" s="5"/>
      <c r="D49" s="5"/>
      <c r="E49" s="5"/>
      <c r="F49" s="5"/>
      <c r="G49" s="5"/>
      <c r="H49" s="5"/>
      <c r="I49" s="5" t="str">
        <f ca="1">IFERROR(_xludf.XLOOKUP(H49,BD_VACANTES!A:A,BD_VACANTES!C:C,""),"")</f>
        <v/>
      </c>
      <c r="J49" s="5" t="str">
        <f ca="1">IFERROR(_xludf.XLOOKUP(H49,BD_VACANTES!A:A,BD_VACANTES!E:E,""),"")</f>
        <v/>
      </c>
      <c r="K49" s="5"/>
      <c r="L49" s="5"/>
      <c r="M49" s="5"/>
      <c r="N49" s="5"/>
      <c r="O49" s="5"/>
      <c r="P49" s="6"/>
      <c r="Q49" s="8" t="str">
        <f t="shared" ca="1" si="1"/>
        <v/>
      </c>
      <c r="R49" s="7"/>
      <c r="S49" s="5"/>
    </row>
    <row r="50" spans="1:19">
      <c r="A50" s="5" t="str">
        <f t="shared" si="0"/>
        <v/>
      </c>
      <c r="B50" s="6"/>
      <c r="C50" s="5"/>
      <c r="D50" s="5"/>
      <c r="E50" s="5"/>
      <c r="F50" s="5"/>
      <c r="G50" s="5"/>
      <c r="H50" s="5"/>
      <c r="I50" s="5" t="str">
        <f ca="1">IFERROR(_xludf.XLOOKUP(H50,BD_VACANTES!A:A,BD_VACANTES!C:C,""),"")</f>
        <v/>
      </c>
      <c r="J50" s="5" t="str">
        <f ca="1">IFERROR(_xludf.XLOOKUP(H50,BD_VACANTES!A:A,BD_VACANTES!E:E,""),"")</f>
        <v/>
      </c>
      <c r="K50" s="5"/>
      <c r="L50" s="5"/>
      <c r="M50" s="5"/>
      <c r="N50" s="5"/>
      <c r="O50" s="5"/>
      <c r="P50" s="6"/>
      <c r="Q50" s="8" t="str">
        <f t="shared" ca="1" si="1"/>
        <v/>
      </c>
      <c r="R50" s="7"/>
      <c r="S50" s="5"/>
    </row>
    <row r="51" spans="1:19">
      <c r="A51" s="5" t="str">
        <f t="shared" si="0"/>
        <v/>
      </c>
      <c r="B51" s="6"/>
      <c r="C51" s="5"/>
      <c r="D51" s="5"/>
      <c r="E51" s="5"/>
      <c r="F51" s="5"/>
      <c r="G51" s="5"/>
      <c r="H51" s="5"/>
      <c r="I51" s="5" t="str">
        <f ca="1">IFERROR(_xludf.XLOOKUP(H51,BD_VACANTES!A:A,BD_VACANTES!C:C,""),"")</f>
        <v/>
      </c>
      <c r="J51" s="5" t="str">
        <f ca="1">IFERROR(_xludf.XLOOKUP(H51,BD_VACANTES!A:A,BD_VACANTES!E:E,""),"")</f>
        <v/>
      </c>
      <c r="K51" s="5"/>
      <c r="L51" s="5"/>
      <c r="M51" s="5"/>
      <c r="N51" s="5"/>
      <c r="O51" s="5"/>
      <c r="P51" s="6"/>
      <c r="Q51" s="8" t="str">
        <f t="shared" ca="1" si="1"/>
        <v/>
      </c>
      <c r="R51" s="7"/>
      <c r="S51" s="5"/>
    </row>
    <row r="52" spans="1:19">
      <c r="A52" s="5" t="str">
        <f t="shared" si="0"/>
        <v/>
      </c>
      <c r="B52" s="6"/>
      <c r="C52" s="5"/>
      <c r="D52" s="5"/>
      <c r="E52" s="5"/>
      <c r="F52" s="5"/>
      <c r="G52" s="5"/>
      <c r="H52" s="5"/>
      <c r="I52" s="5" t="str">
        <f ca="1">IFERROR(_xludf.XLOOKUP(H52,BD_VACANTES!A:A,BD_VACANTES!C:C,""),"")</f>
        <v/>
      </c>
      <c r="J52" s="5" t="str">
        <f ca="1">IFERROR(_xludf.XLOOKUP(H52,BD_VACANTES!A:A,BD_VACANTES!E:E,""),"")</f>
        <v/>
      </c>
      <c r="K52" s="5"/>
      <c r="L52" s="5"/>
      <c r="M52" s="5"/>
      <c r="N52" s="5"/>
      <c r="O52" s="5"/>
      <c r="P52" s="6"/>
      <c r="Q52" s="8" t="str">
        <f t="shared" ca="1" si="1"/>
        <v/>
      </c>
      <c r="R52" s="7"/>
      <c r="S52" s="5"/>
    </row>
    <row r="53" spans="1:19">
      <c r="A53" s="5" t="str">
        <f t="shared" si="0"/>
        <v/>
      </c>
      <c r="B53" s="6"/>
      <c r="C53" s="5"/>
      <c r="D53" s="5"/>
      <c r="E53" s="5"/>
      <c r="F53" s="5"/>
      <c r="G53" s="5"/>
      <c r="H53" s="5"/>
      <c r="I53" s="5" t="str">
        <f ca="1">IFERROR(_xludf.XLOOKUP(H53,BD_VACANTES!A:A,BD_VACANTES!C:C,""),"")</f>
        <v/>
      </c>
      <c r="J53" s="5" t="str">
        <f ca="1">IFERROR(_xludf.XLOOKUP(H53,BD_VACANTES!A:A,BD_VACANTES!E:E,""),"")</f>
        <v/>
      </c>
      <c r="K53" s="5"/>
      <c r="L53" s="5"/>
      <c r="M53" s="5"/>
      <c r="N53" s="5"/>
      <c r="O53" s="5"/>
      <c r="P53" s="6"/>
      <c r="Q53" s="8" t="str">
        <f t="shared" ca="1" si="1"/>
        <v/>
      </c>
      <c r="R53" s="7"/>
      <c r="S53" s="5"/>
    </row>
    <row r="54" spans="1:19">
      <c r="A54" s="5" t="str">
        <f t="shared" si="0"/>
        <v/>
      </c>
      <c r="B54" s="6"/>
      <c r="C54" s="5"/>
      <c r="D54" s="5"/>
      <c r="E54" s="5"/>
      <c r="F54" s="5"/>
      <c r="G54" s="5"/>
      <c r="H54" s="5"/>
      <c r="I54" s="5" t="str">
        <f ca="1">IFERROR(_xludf.XLOOKUP(H54,BD_VACANTES!A:A,BD_VACANTES!C:C,""),"")</f>
        <v/>
      </c>
      <c r="J54" s="5" t="str">
        <f ca="1">IFERROR(_xludf.XLOOKUP(H54,BD_VACANTES!A:A,BD_VACANTES!E:E,""),"")</f>
        <v/>
      </c>
      <c r="K54" s="5"/>
      <c r="L54" s="5"/>
      <c r="M54" s="5"/>
      <c r="N54" s="5"/>
      <c r="O54" s="5"/>
      <c r="P54" s="6"/>
      <c r="Q54" s="8" t="str">
        <f t="shared" ca="1" si="1"/>
        <v/>
      </c>
      <c r="R54" s="7"/>
      <c r="S54" s="5"/>
    </row>
    <row r="55" spans="1:19">
      <c r="A55" s="5" t="str">
        <f t="shared" si="0"/>
        <v/>
      </c>
      <c r="B55" s="6"/>
      <c r="C55" s="5"/>
      <c r="D55" s="5"/>
      <c r="E55" s="5"/>
      <c r="F55" s="5"/>
      <c r="G55" s="5"/>
      <c r="H55" s="5"/>
      <c r="I55" s="5" t="str">
        <f ca="1">IFERROR(_xludf.XLOOKUP(H55,BD_VACANTES!A:A,BD_VACANTES!C:C,""),"")</f>
        <v/>
      </c>
      <c r="J55" s="5" t="str">
        <f ca="1">IFERROR(_xludf.XLOOKUP(H55,BD_VACANTES!A:A,BD_VACANTES!E:E,""),"")</f>
        <v/>
      </c>
      <c r="K55" s="5"/>
      <c r="L55" s="5"/>
      <c r="M55" s="5"/>
      <c r="N55" s="5"/>
      <c r="O55" s="5"/>
      <c r="P55" s="6"/>
      <c r="Q55" s="8" t="str">
        <f t="shared" ca="1" si="1"/>
        <v/>
      </c>
      <c r="R55" s="7"/>
      <c r="S55" s="5"/>
    </row>
    <row r="56" spans="1:19">
      <c r="A56" s="5" t="str">
        <f t="shared" si="0"/>
        <v/>
      </c>
      <c r="B56" s="6"/>
      <c r="C56" s="5"/>
      <c r="D56" s="5"/>
      <c r="E56" s="5"/>
      <c r="F56" s="5"/>
      <c r="G56" s="5"/>
      <c r="H56" s="5"/>
      <c r="I56" s="5" t="str">
        <f ca="1">IFERROR(_xludf.XLOOKUP(H56,BD_VACANTES!A:A,BD_VACANTES!C:C,""),"")</f>
        <v/>
      </c>
      <c r="J56" s="5" t="str">
        <f ca="1">IFERROR(_xludf.XLOOKUP(H56,BD_VACANTES!A:A,BD_VACANTES!E:E,""),"")</f>
        <v/>
      </c>
      <c r="K56" s="5"/>
      <c r="L56" s="5"/>
      <c r="M56" s="5"/>
      <c r="N56" s="5"/>
      <c r="O56" s="5"/>
      <c r="P56" s="6"/>
      <c r="Q56" s="8" t="str">
        <f t="shared" ca="1" si="1"/>
        <v/>
      </c>
      <c r="R56" s="7"/>
      <c r="S56" s="5"/>
    </row>
    <row r="57" spans="1:19">
      <c r="A57" s="5" t="str">
        <f t="shared" si="0"/>
        <v/>
      </c>
      <c r="B57" s="6"/>
      <c r="C57" s="5"/>
      <c r="D57" s="5"/>
      <c r="E57" s="5"/>
      <c r="F57" s="5"/>
      <c r="G57" s="5"/>
      <c r="H57" s="5"/>
      <c r="I57" s="5" t="str">
        <f ca="1">IFERROR(_xludf.XLOOKUP(H57,BD_VACANTES!A:A,BD_VACANTES!C:C,""),"")</f>
        <v/>
      </c>
      <c r="J57" s="5" t="str">
        <f ca="1">IFERROR(_xludf.XLOOKUP(H57,BD_VACANTES!A:A,BD_VACANTES!E:E,""),"")</f>
        <v/>
      </c>
      <c r="K57" s="5"/>
      <c r="L57" s="5"/>
      <c r="M57" s="5"/>
      <c r="N57" s="5"/>
      <c r="O57" s="5"/>
      <c r="P57" s="6"/>
      <c r="Q57" s="8" t="str">
        <f t="shared" ca="1" si="1"/>
        <v/>
      </c>
      <c r="R57" s="7"/>
      <c r="S57" s="5"/>
    </row>
    <row r="58" spans="1:19">
      <c r="A58" s="5" t="str">
        <f t="shared" si="0"/>
        <v/>
      </c>
      <c r="B58" s="6"/>
      <c r="C58" s="5"/>
      <c r="D58" s="5"/>
      <c r="E58" s="5"/>
      <c r="F58" s="5"/>
      <c r="G58" s="5"/>
      <c r="H58" s="5"/>
      <c r="I58" s="5" t="str">
        <f ca="1">IFERROR(_xludf.XLOOKUP(H58,BD_VACANTES!A:A,BD_VACANTES!C:C,""),"")</f>
        <v/>
      </c>
      <c r="J58" s="5" t="str">
        <f ca="1">IFERROR(_xludf.XLOOKUP(H58,BD_VACANTES!A:A,BD_VACANTES!E:E,""),"")</f>
        <v/>
      </c>
      <c r="K58" s="5"/>
      <c r="L58" s="5"/>
      <c r="M58" s="5"/>
      <c r="N58" s="5"/>
      <c r="O58" s="5"/>
      <c r="P58" s="6"/>
      <c r="Q58" s="8" t="str">
        <f t="shared" ca="1" si="1"/>
        <v/>
      </c>
      <c r="R58" s="7"/>
      <c r="S58" s="5"/>
    </row>
    <row r="59" spans="1:19">
      <c r="A59" s="5" t="str">
        <f t="shared" si="0"/>
        <v/>
      </c>
      <c r="B59" s="6"/>
      <c r="C59" s="5"/>
      <c r="D59" s="5"/>
      <c r="E59" s="5"/>
      <c r="F59" s="5"/>
      <c r="G59" s="5"/>
      <c r="H59" s="5"/>
      <c r="I59" s="5" t="str">
        <f ca="1">IFERROR(_xludf.XLOOKUP(H59,BD_VACANTES!A:A,BD_VACANTES!C:C,""),"")</f>
        <v/>
      </c>
      <c r="J59" s="5" t="str">
        <f ca="1">IFERROR(_xludf.XLOOKUP(H59,BD_VACANTES!A:A,BD_VACANTES!E:E,""),"")</f>
        <v/>
      </c>
      <c r="K59" s="5"/>
      <c r="L59" s="5"/>
      <c r="M59" s="5"/>
      <c r="N59" s="5"/>
      <c r="O59" s="5"/>
      <c r="P59" s="6"/>
      <c r="Q59" s="8" t="str">
        <f t="shared" ca="1" si="1"/>
        <v/>
      </c>
      <c r="R59" s="7"/>
      <c r="S59" s="5"/>
    </row>
    <row r="60" spans="1:19">
      <c r="A60" s="5" t="str">
        <f t="shared" si="0"/>
        <v/>
      </c>
      <c r="B60" s="6"/>
      <c r="C60" s="5"/>
      <c r="D60" s="5"/>
      <c r="E60" s="5"/>
      <c r="F60" s="5"/>
      <c r="G60" s="5"/>
      <c r="H60" s="5"/>
      <c r="I60" s="5" t="str">
        <f ca="1">IFERROR(_xludf.XLOOKUP(H60,BD_VACANTES!A:A,BD_VACANTES!C:C,""),"")</f>
        <v/>
      </c>
      <c r="J60" s="5" t="str">
        <f ca="1">IFERROR(_xludf.XLOOKUP(H60,BD_VACANTES!A:A,BD_VACANTES!E:E,""),"")</f>
        <v/>
      </c>
      <c r="K60" s="5"/>
      <c r="L60" s="5"/>
      <c r="M60" s="5"/>
      <c r="N60" s="5"/>
      <c r="O60" s="5"/>
      <c r="P60" s="6"/>
      <c r="Q60" s="8" t="str">
        <f t="shared" ca="1" si="1"/>
        <v/>
      </c>
      <c r="R60" s="7"/>
      <c r="S60" s="5"/>
    </row>
    <row r="61" spans="1:19">
      <c r="A61" s="5" t="str">
        <f t="shared" si="0"/>
        <v/>
      </c>
      <c r="B61" s="6"/>
      <c r="C61" s="5"/>
      <c r="D61" s="5"/>
      <c r="E61" s="5"/>
      <c r="F61" s="5"/>
      <c r="G61" s="5"/>
      <c r="H61" s="5"/>
      <c r="I61" s="5" t="str">
        <f ca="1">IFERROR(_xludf.XLOOKUP(H61,BD_VACANTES!A:A,BD_VACANTES!C:C,""),"")</f>
        <v/>
      </c>
      <c r="J61" s="5" t="str">
        <f ca="1">IFERROR(_xludf.XLOOKUP(H61,BD_VACANTES!A:A,BD_VACANTES!E:E,""),"")</f>
        <v/>
      </c>
      <c r="K61" s="5"/>
      <c r="L61" s="5"/>
      <c r="M61" s="5"/>
      <c r="N61" s="5"/>
      <c r="O61" s="5"/>
      <c r="P61" s="6"/>
      <c r="Q61" s="8" t="str">
        <f t="shared" ca="1" si="1"/>
        <v/>
      </c>
      <c r="R61" s="7"/>
      <c r="S61" s="5"/>
    </row>
    <row r="62" spans="1:19">
      <c r="A62" s="5" t="str">
        <f t="shared" si="0"/>
        <v/>
      </c>
      <c r="B62" s="6"/>
      <c r="C62" s="5"/>
      <c r="D62" s="5"/>
      <c r="E62" s="5"/>
      <c r="F62" s="5"/>
      <c r="G62" s="5"/>
      <c r="H62" s="5"/>
      <c r="I62" s="5" t="str">
        <f ca="1">IFERROR(_xludf.XLOOKUP(H62,BD_VACANTES!A:A,BD_VACANTES!C:C,""),"")</f>
        <v/>
      </c>
      <c r="J62" s="5" t="str">
        <f ca="1">IFERROR(_xludf.XLOOKUP(H62,BD_VACANTES!A:A,BD_VACANTES!E:E,""),"")</f>
        <v/>
      </c>
      <c r="K62" s="5"/>
      <c r="L62" s="5"/>
      <c r="M62" s="5"/>
      <c r="N62" s="5"/>
      <c r="O62" s="5"/>
      <c r="P62" s="6"/>
      <c r="Q62" s="8" t="str">
        <f t="shared" ca="1" si="1"/>
        <v/>
      </c>
      <c r="R62" s="7"/>
      <c r="S62" s="5"/>
    </row>
    <row r="63" spans="1:19">
      <c r="A63" s="5" t="str">
        <f t="shared" si="0"/>
        <v/>
      </c>
      <c r="B63" s="6"/>
      <c r="C63" s="5"/>
      <c r="D63" s="5"/>
      <c r="E63" s="5"/>
      <c r="F63" s="5"/>
      <c r="G63" s="5"/>
      <c r="H63" s="5"/>
      <c r="I63" s="5" t="str">
        <f ca="1">IFERROR(_xludf.XLOOKUP(H63,BD_VACANTES!A:A,BD_VACANTES!C:C,""),"")</f>
        <v/>
      </c>
      <c r="J63" s="5" t="str">
        <f ca="1">IFERROR(_xludf.XLOOKUP(H63,BD_VACANTES!A:A,BD_VACANTES!E:E,""),"")</f>
        <v/>
      </c>
      <c r="K63" s="5"/>
      <c r="L63" s="5"/>
      <c r="M63" s="5"/>
      <c r="N63" s="5"/>
      <c r="O63" s="5"/>
      <c r="P63" s="6"/>
      <c r="Q63" s="8" t="str">
        <f t="shared" ca="1" si="1"/>
        <v/>
      </c>
      <c r="R63" s="7"/>
      <c r="S63" s="5"/>
    </row>
    <row r="64" spans="1:19">
      <c r="A64" s="5" t="str">
        <f t="shared" si="0"/>
        <v/>
      </c>
      <c r="B64" s="6"/>
      <c r="C64" s="5"/>
      <c r="D64" s="5"/>
      <c r="E64" s="5"/>
      <c r="F64" s="5"/>
      <c r="G64" s="5"/>
      <c r="H64" s="5"/>
      <c r="I64" s="5" t="str">
        <f ca="1">IFERROR(_xludf.XLOOKUP(H64,BD_VACANTES!A:A,BD_VACANTES!C:C,""),"")</f>
        <v/>
      </c>
      <c r="J64" s="5" t="str">
        <f ca="1">IFERROR(_xludf.XLOOKUP(H64,BD_VACANTES!A:A,BD_VACANTES!E:E,""),"")</f>
        <v/>
      </c>
      <c r="K64" s="5"/>
      <c r="L64" s="5"/>
      <c r="M64" s="5"/>
      <c r="N64" s="5"/>
      <c r="O64" s="5"/>
      <c r="P64" s="6"/>
      <c r="Q64" s="8" t="str">
        <f t="shared" ca="1" si="1"/>
        <v/>
      </c>
      <c r="R64" s="7"/>
      <c r="S64" s="5"/>
    </row>
    <row r="65" spans="1:19">
      <c r="A65" s="5" t="str">
        <f t="shared" si="0"/>
        <v/>
      </c>
      <c r="B65" s="6"/>
      <c r="C65" s="5"/>
      <c r="D65" s="5"/>
      <c r="E65" s="5"/>
      <c r="F65" s="5"/>
      <c r="G65" s="5"/>
      <c r="H65" s="5"/>
      <c r="I65" s="5" t="str">
        <f ca="1">IFERROR(_xludf.XLOOKUP(H65,BD_VACANTES!A:A,BD_VACANTES!C:C,""),"")</f>
        <v/>
      </c>
      <c r="J65" s="5" t="str">
        <f ca="1">IFERROR(_xludf.XLOOKUP(H65,BD_VACANTES!A:A,BD_VACANTES!E:E,""),"")</f>
        <v/>
      </c>
      <c r="K65" s="5"/>
      <c r="L65" s="5"/>
      <c r="M65" s="5"/>
      <c r="N65" s="5"/>
      <c r="O65" s="5"/>
      <c r="P65" s="6"/>
      <c r="Q65" s="8" t="str">
        <f t="shared" ca="1" si="1"/>
        <v/>
      </c>
      <c r="R65" s="7"/>
      <c r="S65" s="5"/>
    </row>
    <row r="66" spans="1:19">
      <c r="A66" s="5" t="str">
        <f t="shared" ref="A66:A129" si="2">IF(C66&lt;&gt;"","CAN-"&amp;TEXT(ROW()-1,"0000"),"")</f>
        <v/>
      </c>
      <c r="B66" s="6"/>
      <c r="C66" s="5"/>
      <c r="D66" s="5"/>
      <c r="E66" s="5"/>
      <c r="F66" s="5"/>
      <c r="G66" s="5"/>
      <c r="H66" s="5"/>
      <c r="I66" s="5" t="str">
        <f ca="1">IFERROR(_xludf.XLOOKUP(H66,BD_VACANTES!A:A,BD_VACANTES!C:C,""),"")</f>
        <v/>
      </c>
      <c r="J66" s="5" t="str">
        <f ca="1">IFERROR(_xludf.XLOOKUP(H66,BD_VACANTES!A:A,BD_VACANTES!E:E,""),"")</f>
        <v/>
      </c>
      <c r="K66" s="5"/>
      <c r="L66" s="5"/>
      <c r="M66" s="5"/>
      <c r="N66" s="5"/>
      <c r="O66" s="5"/>
      <c r="P66" s="6"/>
      <c r="Q66" s="8" t="str">
        <f t="shared" ref="Q66:Q129" ca="1" si="3">IF(B66="","",IF(P66&lt;&gt;"",P66-B66,TODAY()-B66))</f>
        <v/>
      </c>
      <c r="R66" s="7"/>
      <c r="S66" s="5"/>
    </row>
    <row r="67" spans="1:19">
      <c r="A67" s="5" t="str">
        <f t="shared" si="2"/>
        <v/>
      </c>
      <c r="B67" s="6"/>
      <c r="C67" s="5"/>
      <c r="D67" s="5"/>
      <c r="E67" s="5"/>
      <c r="F67" s="5"/>
      <c r="G67" s="5"/>
      <c r="H67" s="5"/>
      <c r="I67" s="5" t="str">
        <f ca="1">IFERROR(_xludf.XLOOKUP(H67,BD_VACANTES!A:A,BD_VACANTES!C:C,""),"")</f>
        <v/>
      </c>
      <c r="J67" s="5" t="str">
        <f ca="1">IFERROR(_xludf.XLOOKUP(H67,BD_VACANTES!A:A,BD_VACANTES!E:E,""),"")</f>
        <v/>
      </c>
      <c r="K67" s="5"/>
      <c r="L67" s="5"/>
      <c r="M67" s="5"/>
      <c r="N67" s="5"/>
      <c r="O67" s="5"/>
      <c r="P67" s="6"/>
      <c r="Q67" s="8" t="str">
        <f t="shared" ca="1" si="3"/>
        <v/>
      </c>
      <c r="R67" s="7"/>
      <c r="S67" s="5"/>
    </row>
    <row r="68" spans="1:19">
      <c r="A68" s="5" t="str">
        <f t="shared" si="2"/>
        <v/>
      </c>
      <c r="B68" s="6"/>
      <c r="C68" s="5"/>
      <c r="D68" s="5"/>
      <c r="E68" s="5"/>
      <c r="F68" s="5"/>
      <c r="G68" s="5"/>
      <c r="H68" s="5"/>
      <c r="I68" s="5" t="str">
        <f ca="1">IFERROR(_xludf.XLOOKUP(H68,BD_VACANTES!A:A,BD_VACANTES!C:C,""),"")</f>
        <v/>
      </c>
      <c r="J68" s="5" t="str">
        <f ca="1">IFERROR(_xludf.XLOOKUP(H68,BD_VACANTES!A:A,BD_VACANTES!E:E,""),"")</f>
        <v/>
      </c>
      <c r="K68" s="5"/>
      <c r="L68" s="5"/>
      <c r="M68" s="5"/>
      <c r="N68" s="5"/>
      <c r="O68" s="5"/>
      <c r="P68" s="6"/>
      <c r="Q68" s="8" t="str">
        <f t="shared" ca="1" si="3"/>
        <v/>
      </c>
      <c r="R68" s="7"/>
      <c r="S68" s="5"/>
    </row>
    <row r="69" spans="1:19">
      <c r="A69" s="5" t="str">
        <f t="shared" si="2"/>
        <v/>
      </c>
      <c r="B69" s="6"/>
      <c r="C69" s="5"/>
      <c r="D69" s="5"/>
      <c r="E69" s="5"/>
      <c r="F69" s="5"/>
      <c r="G69" s="5"/>
      <c r="H69" s="5"/>
      <c r="I69" s="5" t="str">
        <f ca="1">IFERROR(_xludf.XLOOKUP(H69,BD_VACANTES!A:A,BD_VACANTES!C:C,""),"")</f>
        <v/>
      </c>
      <c r="J69" s="5" t="str">
        <f ca="1">IFERROR(_xludf.XLOOKUP(H69,BD_VACANTES!A:A,BD_VACANTES!E:E,""),"")</f>
        <v/>
      </c>
      <c r="K69" s="5"/>
      <c r="L69" s="5"/>
      <c r="M69" s="5"/>
      <c r="N69" s="5"/>
      <c r="O69" s="5"/>
      <c r="P69" s="6"/>
      <c r="Q69" s="8" t="str">
        <f t="shared" ca="1" si="3"/>
        <v/>
      </c>
      <c r="R69" s="7"/>
      <c r="S69" s="5"/>
    </row>
    <row r="70" spans="1:19">
      <c r="A70" s="5" t="str">
        <f t="shared" si="2"/>
        <v/>
      </c>
      <c r="B70" s="6"/>
      <c r="C70" s="5"/>
      <c r="D70" s="5"/>
      <c r="E70" s="5"/>
      <c r="F70" s="5"/>
      <c r="G70" s="5"/>
      <c r="H70" s="5"/>
      <c r="I70" s="5" t="str">
        <f ca="1">IFERROR(_xludf.XLOOKUP(H70,BD_VACANTES!A:A,BD_VACANTES!C:C,""),"")</f>
        <v/>
      </c>
      <c r="J70" s="5" t="str">
        <f ca="1">IFERROR(_xludf.XLOOKUP(H70,BD_VACANTES!A:A,BD_VACANTES!E:E,""),"")</f>
        <v/>
      </c>
      <c r="K70" s="5"/>
      <c r="L70" s="5"/>
      <c r="M70" s="5"/>
      <c r="N70" s="5"/>
      <c r="O70" s="5"/>
      <c r="P70" s="6"/>
      <c r="Q70" s="8" t="str">
        <f t="shared" ca="1" si="3"/>
        <v/>
      </c>
      <c r="R70" s="7"/>
      <c r="S70" s="5"/>
    </row>
    <row r="71" spans="1:19">
      <c r="A71" s="5" t="str">
        <f t="shared" si="2"/>
        <v/>
      </c>
      <c r="B71" s="6"/>
      <c r="C71" s="5"/>
      <c r="D71" s="5"/>
      <c r="E71" s="5"/>
      <c r="F71" s="5"/>
      <c r="G71" s="5"/>
      <c r="H71" s="5"/>
      <c r="I71" s="5" t="str">
        <f ca="1">IFERROR(_xludf.XLOOKUP(H71,BD_VACANTES!A:A,BD_VACANTES!C:C,""),"")</f>
        <v/>
      </c>
      <c r="J71" s="5" t="str">
        <f ca="1">IFERROR(_xludf.XLOOKUP(H71,BD_VACANTES!A:A,BD_VACANTES!E:E,""),"")</f>
        <v/>
      </c>
      <c r="K71" s="5"/>
      <c r="L71" s="5"/>
      <c r="M71" s="5"/>
      <c r="N71" s="5"/>
      <c r="O71" s="5"/>
      <c r="P71" s="6"/>
      <c r="Q71" s="8" t="str">
        <f t="shared" ca="1" si="3"/>
        <v/>
      </c>
      <c r="R71" s="7"/>
      <c r="S71" s="5"/>
    </row>
    <row r="72" spans="1:19">
      <c r="A72" s="5" t="str">
        <f t="shared" si="2"/>
        <v/>
      </c>
      <c r="B72" s="6"/>
      <c r="C72" s="5"/>
      <c r="D72" s="5"/>
      <c r="E72" s="5"/>
      <c r="F72" s="5"/>
      <c r="G72" s="5"/>
      <c r="H72" s="5"/>
      <c r="I72" s="5" t="str">
        <f ca="1">IFERROR(_xludf.XLOOKUP(H72,BD_VACANTES!A:A,BD_VACANTES!C:C,""),"")</f>
        <v/>
      </c>
      <c r="J72" s="5" t="str">
        <f ca="1">IFERROR(_xludf.XLOOKUP(H72,BD_VACANTES!A:A,BD_VACANTES!E:E,""),"")</f>
        <v/>
      </c>
      <c r="K72" s="5"/>
      <c r="L72" s="5"/>
      <c r="M72" s="5"/>
      <c r="N72" s="5"/>
      <c r="O72" s="5"/>
      <c r="P72" s="6"/>
      <c r="Q72" s="8" t="str">
        <f t="shared" ca="1" si="3"/>
        <v/>
      </c>
      <c r="R72" s="7"/>
      <c r="S72" s="5"/>
    </row>
    <row r="73" spans="1:19">
      <c r="A73" s="5" t="str">
        <f t="shared" si="2"/>
        <v/>
      </c>
      <c r="B73" s="6"/>
      <c r="C73" s="5"/>
      <c r="D73" s="5"/>
      <c r="E73" s="5"/>
      <c r="F73" s="5"/>
      <c r="G73" s="5"/>
      <c r="H73" s="5"/>
      <c r="I73" s="5" t="str">
        <f ca="1">IFERROR(_xludf.XLOOKUP(H73,BD_VACANTES!A:A,BD_VACANTES!C:C,""),"")</f>
        <v/>
      </c>
      <c r="J73" s="5" t="str">
        <f ca="1">IFERROR(_xludf.XLOOKUP(H73,BD_VACANTES!A:A,BD_VACANTES!E:E,""),"")</f>
        <v/>
      </c>
      <c r="K73" s="5"/>
      <c r="L73" s="5"/>
      <c r="M73" s="5"/>
      <c r="N73" s="5"/>
      <c r="O73" s="5"/>
      <c r="P73" s="6"/>
      <c r="Q73" s="8" t="str">
        <f t="shared" ca="1" si="3"/>
        <v/>
      </c>
      <c r="R73" s="7"/>
      <c r="S73" s="5"/>
    </row>
    <row r="74" spans="1:19">
      <c r="A74" s="5" t="str">
        <f t="shared" si="2"/>
        <v/>
      </c>
      <c r="B74" s="6"/>
      <c r="C74" s="5"/>
      <c r="D74" s="5"/>
      <c r="E74" s="5"/>
      <c r="F74" s="5"/>
      <c r="G74" s="5"/>
      <c r="H74" s="5"/>
      <c r="I74" s="5" t="str">
        <f ca="1">IFERROR(_xludf.XLOOKUP(H74,BD_VACANTES!A:A,BD_VACANTES!C:C,""),"")</f>
        <v/>
      </c>
      <c r="J74" s="5" t="str">
        <f ca="1">IFERROR(_xludf.XLOOKUP(H74,BD_VACANTES!A:A,BD_VACANTES!E:E,""),"")</f>
        <v/>
      </c>
      <c r="K74" s="5"/>
      <c r="L74" s="5"/>
      <c r="M74" s="5"/>
      <c r="N74" s="5"/>
      <c r="O74" s="5"/>
      <c r="P74" s="6"/>
      <c r="Q74" s="8" t="str">
        <f t="shared" ca="1" si="3"/>
        <v/>
      </c>
      <c r="R74" s="7"/>
      <c r="S74" s="5"/>
    </row>
    <row r="75" spans="1:19">
      <c r="A75" s="5" t="str">
        <f t="shared" si="2"/>
        <v/>
      </c>
      <c r="B75" s="6"/>
      <c r="C75" s="5"/>
      <c r="D75" s="5"/>
      <c r="E75" s="5"/>
      <c r="F75" s="5"/>
      <c r="G75" s="5"/>
      <c r="H75" s="5"/>
      <c r="I75" s="5" t="str">
        <f ca="1">IFERROR(_xludf.XLOOKUP(H75,BD_VACANTES!A:A,BD_VACANTES!C:C,""),"")</f>
        <v/>
      </c>
      <c r="J75" s="5" t="str">
        <f ca="1">IFERROR(_xludf.XLOOKUP(H75,BD_VACANTES!A:A,BD_VACANTES!E:E,""),"")</f>
        <v/>
      </c>
      <c r="K75" s="5"/>
      <c r="L75" s="5"/>
      <c r="M75" s="5"/>
      <c r="N75" s="5"/>
      <c r="O75" s="5"/>
      <c r="P75" s="6"/>
      <c r="Q75" s="8" t="str">
        <f t="shared" ca="1" si="3"/>
        <v/>
      </c>
      <c r="R75" s="7"/>
      <c r="S75" s="5"/>
    </row>
    <row r="76" spans="1:19">
      <c r="A76" s="5" t="str">
        <f t="shared" si="2"/>
        <v/>
      </c>
      <c r="B76" s="6"/>
      <c r="C76" s="5"/>
      <c r="D76" s="5"/>
      <c r="E76" s="5"/>
      <c r="F76" s="5"/>
      <c r="G76" s="5"/>
      <c r="H76" s="5"/>
      <c r="I76" s="5" t="str">
        <f ca="1">IFERROR(_xludf.XLOOKUP(H76,BD_VACANTES!A:A,BD_VACANTES!C:C,""),"")</f>
        <v/>
      </c>
      <c r="J76" s="5" t="str">
        <f ca="1">IFERROR(_xludf.XLOOKUP(H76,BD_VACANTES!A:A,BD_VACANTES!E:E,""),"")</f>
        <v/>
      </c>
      <c r="K76" s="5"/>
      <c r="L76" s="5"/>
      <c r="M76" s="5"/>
      <c r="N76" s="5"/>
      <c r="O76" s="5"/>
      <c r="P76" s="6"/>
      <c r="Q76" s="8" t="str">
        <f t="shared" ca="1" si="3"/>
        <v/>
      </c>
      <c r="R76" s="7"/>
      <c r="S76" s="5"/>
    </row>
    <row r="77" spans="1:19">
      <c r="A77" s="5" t="str">
        <f t="shared" si="2"/>
        <v/>
      </c>
      <c r="B77" s="6"/>
      <c r="C77" s="5"/>
      <c r="D77" s="5"/>
      <c r="E77" s="5"/>
      <c r="F77" s="5"/>
      <c r="G77" s="5"/>
      <c r="H77" s="5"/>
      <c r="I77" s="5" t="str">
        <f ca="1">IFERROR(_xludf.XLOOKUP(H77,BD_VACANTES!A:A,BD_VACANTES!C:C,""),"")</f>
        <v/>
      </c>
      <c r="J77" s="5" t="str">
        <f ca="1">IFERROR(_xludf.XLOOKUP(H77,BD_VACANTES!A:A,BD_VACANTES!E:E,""),"")</f>
        <v/>
      </c>
      <c r="K77" s="5"/>
      <c r="L77" s="5"/>
      <c r="M77" s="5"/>
      <c r="N77" s="5"/>
      <c r="O77" s="5"/>
      <c r="P77" s="6"/>
      <c r="Q77" s="8" t="str">
        <f t="shared" ca="1" si="3"/>
        <v/>
      </c>
      <c r="R77" s="7"/>
      <c r="S77" s="5"/>
    </row>
    <row r="78" spans="1:19">
      <c r="A78" s="5" t="str">
        <f t="shared" si="2"/>
        <v/>
      </c>
      <c r="B78" s="6"/>
      <c r="C78" s="5"/>
      <c r="D78" s="5"/>
      <c r="E78" s="5"/>
      <c r="F78" s="5"/>
      <c r="G78" s="5"/>
      <c r="H78" s="5"/>
      <c r="I78" s="5" t="str">
        <f ca="1">IFERROR(_xludf.XLOOKUP(H78,BD_VACANTES!A:A,BD_VACANTES!C:C,""),"")</f>
        <v/>
      </c>
      <c r="J78" s="5" t="str">
        <f ca="1">IFERROR(_xludf.XLOOKUP(H78,BD_VACANTES!A:A,BD_VACANTES!E:E,""),"")</f>
        <v/>
      </c>
      <c r="K78" s="5"/>
      <c r="L78" s="5"/>
      <c r="M78" s="5"/>
      <c r="N78" s="5"/>
      <c r="O78" s="5"/>
      <c r="P78" s="6"/>
      <c r="Q78" s="8" t="str">
        <f t="shared" ca="1" si="3"/>
        <v/>
      </c>
      <c r="R78" s="7"/>
      <c r="S78" s="5"/>
    </row>
    <row r="79" spans="1:19">
      <c r="A79" s="5" t="str">
        <f t="shared" si="2"/>
        <v/>
      </c>
      <c r="B79" s="6"/>
      <c r="C79" s="5"/>
      <c r="D79" s="5"/>
      <c r="E79" s="5"/>
      <c r="F79" s="5"/>
      <c r="G79" s="5"/>
      <c r="H79" s="5"/>
      <c r="I79" s="5" t="str">
        <f ca="1">IFERROR(_xludf.XLOOKUP(H79,BD_VACANTES!A:A,BD_VACANTES!C:C,""),"")</f>
        <v/>
      </c>
      <c r="J79" s="5" t="str">
        <f ca="1">IFERROR(_xludf.XLOOKUP(H79,BD_VACANTES!A:A,BD_VACANTES!E:E,""),"")</f>
        <v/>
      </c>
      <c r="K79" s="5"/>
      <c r="L79" s="5"/>
      <c r="M79" s="5"/>
      <c r="N79" s="5"/>
      <c r="O79" s="5"/>
      <c r="P79" s="6"/>
      <c r="Q79" s="8" t="str">
        <f t="shared" ca="1" si="3"/>
        <v/>
      </c>
      <c r="R79" s="7"/>
      <c r="S79" s="5"/>
    </row>
    <row r="80" spans="1:19">
      <c r="A80" s="5" t="str">
        <f t="shared" si="2"/>
        <v/>
      </c>
      <c r="B80" s="6"/>
      <c r="C80" s="5"/>
      <c r="D80" s="5"/>
      <c r="E80" s="5"/>
      <c r="F80" s="5"/>
      <c r="G80" s="5"/>
      <c r="H80" s="5"/>
      <c r="I80" s="5" t="str">
        <f ca="1">IFERROR(_xludf.XLOOKUP(H80,BD_VACANTES!A:A,BD_VACANTES!C:C,""),"")</f>
        <v/>
      </c>
      <c r="J80" s="5" t="str">
        <f ca="1">IFERROR(_xludf.XLOOKUP(H80,BD_VACANTES!A:A,BD_VACANTES!E:E,""),"")</f>
        <v/>
      </c>
      <c r="K80" s="5"/>
      <c r="L80" s="5"/>
      <c r="M80" s="5"/>
      <c r="N80" s="5"/>
      <c r="O80" s="5"/>
      <c r="P80" s="6"/>
      <c r="Q80" s="8" t="str">
        <f t="shared" ca="1" si="3"/>
        <v/>
      </c>
      <c r="R80" s="7"/>
      <c r="S80" s="5"/>
    </row>
    <row r="81" spans="1:19">
      <c r="A81" s="5" t="str">
        <f t="shared" si="2"/>
        <v/>
      </c>
      <c r="B81" s="6"/>
      <c r="C81" s="5"/>
      <c r="D81" s="5"/>
      <c r="E81" s="5"/>
      <c r="F81" s="5"/>
      <c r="G81" s="5"/>
      <c r="H81" s="5"/>
      <c r="I81" s="5" t="str">
        <f ca="1">IFERROR(_xludf.XLOOKUP(H81,BD_VACANTES!A:A,BD_VACANTES!C:C,""),"")</f>
        <v/>
      </c>
      <c r="J81" s="5" t="str">
        <f ca="1">IFERROR(_xludf.XLOOKUP(H81,BD_VACANTES!A:A,BD_VACANTES!E:E,""),"")</f>
        <v/>
      </c>
      <c r="K81" s="5"/>
      <c r="L81" s="5"/>
      <c r="M81" s="5"/>
      <c r="N81" s="5"/>
      <c r="O81" s="5"/>
      <c r="P81" s="6"/>
      <c r="Q81" s="8" t="str">
        <f t="shared" ca="1" si="3"/>
        <v/>
      </c>
      <c r="R81" s="7"/>
      <c r="S81" s="5"/>
    </row>
    <row r="82" spans="1:19">
      <c r="A82" s="5" t="str">
        <f t="shared" si="2"/>
        <v/>
      </c>
      <c r="B82" s="6"/>
      <c r="C82" s="5"/>
      <c r="D82" s="5"/>
      <c r="E82" s="5"/>
      <c r="F82" s="5"/>
      <c r="G82" s="5"/>
      <c r="H82" s="5"/>
      <c r="I82" s="5" t="str">
        <f ca="1">IFERROR(_xludf.XLOOKUP(H82,BD_VACANTES!A:A,BD_VACANTES!C:C,""),"")</f>
        <v/>
      </c>
      <c r="J82" s="5" t="str">
        <f ca="1">IFERROR(_xludf.XLOOKUP(H82,BD_VACANTES!A:A,BD_VACANTES!E:E,""),"")</f>
        <v/>
      </c>
      <c r="K82" s="5"/>
      <c r="L82" s="5"/>
      <c r="M82" s="5"/>
      <c r="N82" s="5"/>
      <c r="O82" s="5"/>
      <c r="P82" s="6"/>
      <c r="Q82" s="8" t="str">
        <f t="shared" ca="1" si="3"/>
        <v/>
      </c>
      <c r="R82" s="7"/>
      <c r="S82" s="5"/>
    </row>
    <row r="83" spans="1:19">
      <c r="A83" s="5" t="str">
        <f t="shared" si="2"/>
        <v/>
      </c>
      <c r="B83" s="6"/>
      <c r="C83" s="5"/>
      <c r="D83" s="5"/>
      <c r="E83" s="5"/>
      <c r="F83" s="5"/>
      <c r="G83" s="5"/>
      <c r="H83" s="5"/>
      <c r="I83" s="5" t="str">
        <f ca="1">IFERROR(_xludf.XLOOKUP(H83,BD_VACANTES!A:A,BD_VACANTES!C:C,""),"")</f>
        <v/>
      </c>
      <c r="J83" s="5" t="str">
        <f ca="1">IFERROR(_xludf.XLOOKUP(H83,BD_VACANTES!A:A,BD_VACANTES!E:E,""),"")</f>
        <v/>
      </c>
      <c r="K83" s="5"/>
      <c r="L83" s="5"/>
      <c r="M83" s="5"/>
      <c r="N83" s="5"/>
      <c r="O83" s="5"/>
      <c r="P83" s="6"/>
      <c r="Q83" s="8" t="str">
        <f t="shared" ca="1" si="3"/>
        <v/>
      </c>
      <c r="R83" s="7"/>
      <c r="S83" s="5"/>
    </row>
    <row r="84" spans="1:19">
      <c r="A84" s="5" t="str">
        <f t="shared" si="2"/>
        <v/>
      </c>
      <c r="B84" s="6"/>
      <c r="C84" s="5"/>
      <c r="D84" s="5"/>
      <c r="E84" s="5"/>
      <c r="F84" s="5"/>
      <c r="G84" s="5"/>
      <c r="H84" s="5"/>
      <c r="I84" s="5" t="str">
        <f ca="1">IFERROR(_xludf.XLOOKUP(H84,BD_VACANTES!A:A,BD_VACANTES!C:C,""),"")</f>
        <v/>
      </c>
      <c r="J84" s="5" t="str">
        <f ca="1">IFERROR(_xludf.XLOOKUP(H84,BD_VACANTES!A:A,BD_VACANTES!E:E,""),"")</f>
        <v/>
      </c>
      <c r="K84" s="5"/>
      <c r="L84" s="5"/>
      <c r="M84" s="5"/>
      <c r="N84" s="5"/>
      <c r="O84" s="5"/>
      <c r="P84" s="6"/>
      <c r="Q84" s="8" t="str">
        <f t="shared" ca="1" si="3"/>
        <v/>
      </c>
      <c r="R84" s="7"/>
      <c r="S84" s="5"/>
    </row>
    <row r="85" spans="1:19">
      <c r="A85" s="5" t="str">
        <f t="shared" si="2"/>
        <v/>
      </c>
      <c r="B85" s="6"/>
      <c r="C85" s="5"/>
      <c r="D85" s="5"/>
      <c r="E85" s="5"/>
      <c r="F85" s="5"/>
      <c r="G85" s="5"/>
      <c r="H85" s="5"/>
      <c r="I85" s="5" t="str">
        <f ca="1">IFERROR(_xludf.XLOOKUP(H85,BD_VACANTES!A:A,BD_VACANTES!C:C,""),"")</f>
        <v/>
      </c>
      <c r="J85" s="5" t="str">
        <f ca="1">IFERROR(_xludf.XLOOKUP(H85,BD_VACANTES!A:A,BD_VACANTES!E:E,""),"")</f>
        <v/>
      </c>
      <c r="K85" s="5"/>
      <c r="L85" s="5"/>
      <c r="M85" s="5"/>
      <c r="N85" s="5"/>
      <c r="O85" s="5"/>
      <c r="P85" s="6"/>
      <c r="Q85" s="8" t="str">
        <f t="shared" ca="1" si="3"/>
        <v/>
      </c>
      <c r="R85" s="7"/>
      <c r="S85" s="5"/>
    </row>
    <row r="86" spans="1:19">
      <c r="A86" s="5" t="str">
        <f t="shared" si="2"/>
        <v/>
      </c>
      <c r="B86" s="6"/>
      <c r="C86" s="5"/>
      <c r="D86" s="5"/>
      <c r="E86" s="5"/>
      <c r="F86" s="5"/>
      <c r="G86" s="5"/>
      <c r="H86" s="5"/>
      <c r="I86" s="5" t="str">
        <f ca="1">IFERROR(_xludf.XLOOKUP(H86,BD_VACANTES!A:A,BD_VACANTES!C:C,""),"")</f>
        <v/>
      </c>
      <c r="J86" s="5" t="str">
        <f ca="1">IFERROR(_xludf.XLOOKUP(H86,BD_VACANTES!A:A,BD_VACANTES!E:E,""),"")</f>
        <v/>
      </c>
      <c r="K86" s="5"/>
      <c r="L86" s="5"/>
      <c r="M86" s="5"/>
      <c r="N86" s="5"/>
      <c r="O86" s="5"/>
      <c r="P86" s="6"/>
      <c r="Q86" s="8" t="str">
        <f t="shared" ca="1" si="3"/>
        <v/>
      </c>
      <c r="R86" s="7"/>
      <c r="S86" s="5"/>
    </row>
    <row r="87" spans="1:19">
      <c r="A87" s="5" t="str">
        <f t="shared" si="2"/>
        <v/>
      </c>
      <c r="B87" s="6"/>
      <c r="C87" s="5"/>
      <c r="D87" s="5"/>
      <c r="E87" s="5"/>
      <c r="F87" s="5"/>
      <c r="G87" s="5"/>
      <c r="H87" s="5"/>
      <c r="I87" s="5" t="str">
        <f ca="1">IFERROR(_xludf.XLOOKUP(H87,BD_VACANTES!A:A,BD_VACANTES!C:C,""),"")</f>
        <v/>
      </c>
      <c r="J87" s="5" t="str">
        <f ca="1">IFERROR(_xludf.XLOOKUP(H87,BD_VACANTES!A:A,BD_VACANTES!E:E,""),"")</f>
        <v/>
      </c>
      <c r="K87" s="5"/>
      <c r="L87" s="5"/>
      <c r="M87" s="5"/>
      <c r="N87" s="5"/>
      <c r="O87" s="5"/>
      <c r="P87" s="6"/>
      <c r="Q87" s="8" t="str">
        <f t="shared" ca="1" si="3"/>
        <v/>
      </c>
      <c r="R87" s="7"/>
      <c r="S87" s="5"/>
    </row>
    <row r="88" spans="1:19">
      <c r="A88" s="5" t="str">
        <f t="shared" si="2"/>
        <v/>
      </c>
      <c r="B88" s="6"/>
      <c r="C88" s="5"/>
      <c r="D88" s="5"/>
      <c r="E88" s="5"/>
      <c r="F88" s="5"/>
      <c r="G88" s="5"/>
      <c r="H88" s="5"/>
      <c r="I88" s="5" t="str">
        <f ca="1">IFERROR(_xludf.XLOOKUP(H88,BD_VACANTES!A:A,BD_VACANTES!C:C,""),"")</f>
        <v/>
      </c>
      <c r="J88" s="5" t="str">
        <f ca="1">IFERROR(_xludf.XLOOKUP(H88,BD_VACANTES!A:A,BD_VACANTES!E:E,""),"")</f>
        <v/>
      </c>
      <c r="K88" s="5"/>
      <c r="L88" s="5"/>
      <c r="M88" s="5"/>
      <c r="N88" s="5"/>
      <c r="O88" s="5"/>
      <c r="P88" s="6"/>
      <c r="Q88" s="8" t="str">
        <f t="shared" ca="1" si="3"/>
        <v/>
      </c>
      <c r="R88" s="7"/>
      <c r="S88" s="5"/>
    </row>
    <row r="89" spans="1:19">
      <c r="A89" s="5" t="str">
        <f t="shared" si="2"/>
        <v/>
      </c>
      <c r="B89" s="6"/>
      <c r="C89" s="5"/>
      <c r="D89" s="5"/>
      <c r="E89" s="5"/>
      <c r="F89" s="5"/>
      <c r="G89" s="5"/>
      <c r="H89" s="5"/>
      <c r="I89" s="5" t="str">
        <f ca="1">IFERROR(_xludf.XLOOKUP(H89,BD_VACANTES!A:A,BD_VACANTES!C:C,""),"")</f>
        <v/>
      </c>
      <c r="J89" s="5" t="str">
        <f ca="1">IFERROR(_xludf.XLOOKUP(H89,BD_VACANTES!A:A,BD_VACANTES!E:E,""),"")</f>
        <v/>
      </c>
      <c r="K89" s="5"/>
      <c r="L89" s="5"/>
      <c r="M89" s="5"/>
      <c r="N89" s="5"/>
      <c r="O89" s="5"/>
      <c r="P89" s="6"/>
      <c r="Q89" s="8" t="str">
        <f t="shared" ca="1" si="3"/>
        <v/>
      </c>
      <c r="R89" s="7"/>
      <c r="S89" s="5"/>
    </row>
    <row r="90" spans="1:19">
      <c r="A90" s="5" t="str">
        <f t="shared" si="2"/>
        <v/>
      </c>
      <c r="B90" s="6"/>
      <c r="C90" s="5"/>
      <c r="D90" s="5"/>
      <c r="E90" s="5"/>
      <c r="F90" s="5"/>
      <c r="G90" s="5"/>
      <c r="H90" s="5"/>
      <c r="I90" s="5" t="str">
        <f ca="1">IFERROR(_xludf.XLOOKUP(H90,BD_VACANTES!A:A,BD_VACANTES!C:C,""),"")</f>
        <v/>
      </c>
      <c r="J90" s="5" t="str">
        <f ca="1">IFERROR(_xludf.XLOOKUP(H90,BD_VACANTES!A:A,BD_VACANTES!E:E,""),"")</f>
        <v/>
      </c>
      <c r="K90" s="5"/>
      <c r="L90" s="5"/>
      <c r="M90" s="5"/>
      <c r="N90" s="5"/>
      <c r="O90" s="5"/>
      <c r="P90" s="6"/>
      <c r="Q90" s="8" t="str">
        <f t="shared" ca="1" si="3"/>
        <v/>
      </c>
      <c r="R90" s="7"/>
      <c r="S90" s="5"/>
    </row>
    <row r="91" spans="1:19">
      <c r="A91" s="5" t="str">
        <f t="shared" si="2"/>
        <v/>
      </c>
      <c r="B91" s="6"/>
      <c r="C91" s="5"/>
      <c r="D91" s="5"/>
      <c r="E91" s="5"/>
      <c r="F91" s="5"/>
      <c r="G91" s="5"/>
      <c r="H91" s="5"/>
      <c r="I91" s="5" t="str">
        <f ca="1">IFERROR(_xludf.XLOOKUP(H91,BD_VACANTES!A:A,BD_VACANTES!C:C,""),"")</f>
        <v/>
      </c>
      <c r="J91" s="5" t="str">
        <f ca="1">IFERROR(_xludf.XLOOKUP(H91,BD_VACANTES!A:A,BD_VACANTES!E:E,""),"")</f>
        <v/>
      </c>
      <c r="K91" s="5"/>
      <c r="L91" s="5"/>
      <c r="M91" s="5"/>
      <c r="N91" s="5"/>
      <c r="O91" s="5"/>
      <c r="P91" s="6"/>
      <c r="Q91" s="8" t="str">
        <f t="shared" ca="1" si="3"/>
        <v/>
      </c>
      <c r="R91" s="7"/>
      <c r="S91" s="5"/>
    </row>
    <row r="92" spans="1:19">
      <c r="A92" s="5" t="str">
        <f t="shared" si="2"/>
        <v/>
      </c>
      <c r="B92" s="6"/>
      <c r="C92" s="5"/>
      <c r="D92" s="5"/>
      <c r="E92" s="5"/>
      <c r="F92" s="5"/>
      <c r="G92" s="5"/>
      <c r="H92" s="5"/>
      <c r="I92" s="5" t="str">
        <f ca="1">IFERROR(_xludf.XLOOKUP(H92,BD_VACANTES!A:A,BD_VACANTES!C:C,""),"")</f>
        <v/>
      </c>
      <c r="J92" s="5" t="str">
        <f ca="1">IFERROR(_xludf.XLOOKUP(H92,BD_VACANTES!A:A,BD_VACANTES!E:E,""),"")</f>
        <v/>
      </c>
      <c r="K92" s="5"/>
      <c r="L92" s="5"/>
      <c r="M92" s="5"/>
      <c r="N92" s="5"/>
      <c r="O92" s="5"/>
      <c r="P92" s="6"/>
      <c r="Q92" s="8" t="str">
        <f t="shared" ca="1" si="3"/>
        <v/>
      </c>
      <c r="R92" s="7"/>
      <c r="S92" s="5"/>
    </row>
    <row r="93" spans="1:19">
      <c r="A93" s="5" t="str">
        <f t="shared" si="2"/>
        <v/>
      </c>
      <c r="B93" s="6"/>
      <c r="C93" s="5"/>
      <c r="D93" s="5"/>
      <c r="E93" s="5"/>
      <c r="F93" s="5"/>
      <c r="G93" s="5"/>
      <c r="H93" s="5"/>
      <c r="I93" s="5" t="str">
        <f ca="1">IFERROR(_xludf.XLOOKUP(H93,BD_VACANTES!A:A,BD_VACANTES!C:C,""),"")</f>
        <v/>
      </c>
      <c r="J93" s="5" t="str">
        <f ca="1">IFERROR(_xludf.XLOOKUP(H93,BD_VACANTES!A:A,BD_VACANTES!E:E,""),"")</f>
        <v/>
      </c>
      <c r="K93" s="5"/>
      <c r="L93" s="5"/>
      <c r="M93" s="5"/>
      <c r="N93" s="5"/>
      <c r="O93" s="5"/>
      <c r="P93" s="6"/>
      <c r="Q93" s="8" t="str">
        <f t="shared" ca="1" si="3"/>
        <v/>
      </c>
      <c r="R93" s="7"/>
      <c r="S93" s="5"/>
    </row>
    <row r="94" spans="1:19">
      <c r="A94" s="5" t="str">
        <f t="shared" si="2"/>
        <v/>
      </c>
      <c r="B94" s="6"/>
      <c r="C94" s="5"/>
      <c r="D94" s="5"/>
      <c r="E94" s="5"/>
      <c r="F94" s="5"/>
      <c r="G94" s="5"/>
      <c r="H94" s="5"/>
      <c r="I94" s="5" t="str">
        <f ca="1">IFERROR(_xludf.XLOOKUP(H94,BD_VACANTES!A:A,BD_VACANTES!C:C,""),"")</f>
        <v/>
      </c>
      <c r="J94" s="5" t="str">
        <f ca="1">IFERROR(_xludf.XLOOKUP(H94,BD_VACANTES!A:A,BD_VACANTES!E:E,""),"")</f>
        <v/>
      </c>
      <c r="K94" s="5"/>
      <c r="L94" s="5"/>
      <c r="M94" s="5"/>
      <c r="N94" s="5"/>
      <c r="O94" s="5"/>
      <c r="P94" s="6"/>
      <c r="Q94" s="8" t="str">
        <f t="shared" ca="1" si="3"/>
        <v/>
      </c>
      <c r="R94" s="7"/>
      <c r="S94" s="5"/>
    </row>
    <row r="95" spans="1:19">
      <c r="A95" s="5" t="str">
        <f t="shared" si="2"/>
        <v/>
      </c>
      <c r="B95" s="6"/>
      <c r="C95" s="5"/>
      <c r="D95" s="5"/>
      <c r="E95" s="5"/>
      <c r="F95" s="5"/>
      <c r="G95" s="5"/>
      <c r="H95" s="5"/>
      <c r="I95" s="5" t="str">
        <f ca="1">IFERROR(_xludf.XLOOKUP(H95,BD_VACANTES!A:A,BD_VACANTES!C:C,""),"")</f>
        <v/>
      </c>
      <c r="J95" s="5" t="str">
        <f ca="1">IFERROR(_xludf.XLOOKUP(H95,BD_VACANTES!A:A,BD_VACANTES!E:E,""),"")</f>
        <v/>
      </c>
      <c r="K95" s="5"/>
      <c r="L95" s="5"/>
      <c r="M95" s="5"/>
      <c r="N95" s="5"/>
      <c r="O95" s="5"/>
      <c r="P95" s="6"/>
      <c r="Q95" s="8" t="str">
        <f t="shared" ca="1" si="3"/>
        <v/>
      </c>
      <c r="R95" s="7"/>
      <c r="S95" s="5"/>
    </row>
    <row r="96" spans="1:19">
      <c r="A96" s="5" t="str">
        <f t="shared" si="2"/>
        <v/>
      </c>
      <c r="B96" s="6"/>
      <c r="C96" s="5"/>
      <c r="D96" s="5"/>
      <c r="E96" s="5"/>
      <c r="F96" s="5"/>
      <c r="G96" s="5"/>
      <c r="H96" s="5"/>
      <c r="I96" s="5" t="str">
        <f ca="1">IFERROR(_xludf.XLOOKUP(H96,BD_VACANTES!A:A,BD_VACANTES!C:C,""),"")</f>
        <v/>
      </c>
      <c r="J96" s="5" t="str">
        <f ca="1">IFERROR(_xludf.XLOOKUP(H96,BD_VACANTES!A:A,BD_VACANTES!E:E,""),"")</f>
        <v/>
      </c>
      <c r="K96" s="5"/>
      <c r="L96" s="5"/>
      <c r="M96" s="5"/>
      <c r="N96" s="5"/>
      <c r="O96" s="5"/>
      <c r="P96" s="6"/>
      <c r="Q96" s="8" t="str">
        <f t="shared" ca="1" si="3"/>
        <v/>
      </c>
      <c r="R96" s="7"/>
      <c r="S96" s="5"/>
    </row>
    <row r="97" spans="1:19">
      <c r="A97" s="5" t="str">
        <f t="shared" si="2"/>
        <v/>
      </c>
      <c r="B97" s="6"/>
      <c r="C97" s="5"/>
      <c r="D97" s="5"/>
      <c r="E97" s="5"/>
      <c r="F97" s="5"/>
      <c r="G97" s="5"/>
      <c r="H97" s="5"/>
      <c r="I97" s="5" t="str">
        <f ca="1">IFERROR(_xludf.XLOOKUP(H97,BD_VACANTES!A:A,BD_VACANTES!C:C,""),"")</f>
        <v/>
      </c>
      <c r="J97" s="5" t="str">
        <f ca="1">IFERROR(_xludf.XLOOKUP(H97,BD_VACANTES!A:A,BD_VACANTES!E:E,""),"")</f>
        <v/>
      </c>
      <c r="K97" s="5"/>
      <c r="L97" s="5"/>
      <c r="M97" s="5"/>
      <c r="N97" s="5"/>
      <c r="O97" s="5"/>
      <c r="P97" s="6"/>
      <c r="Q97" s="8" t="str">
        <f t="shared" ca="1" si="3"/>
        <v/>
      </c>
      <c r="R97" s="7"/>
      <c r="S97" s="5"/>
    </row>
    <row r="98" spans="1:19">
      <c r="A98" s="5" t="str">
        <f t="shared" si="2"/>
        <v/>
      </c>
      <c r="B98" s="6"/>
      <c r="C98" s="5"/>
      <c r="D98" s="5"/>
      <c r="E98" s="5"/>
      <c r="F98" s="5"/>
      <c r="G98" s="5"/>
      <c r="H98" s="5"/>
      <c r="I98" s="5" t="str">
        <f ca="1">IFERROR(_xludf.XLOOKUP(H98,BD_VACANTES!A:A,BD_VACANTES!C:C,""),"")</f>
        <v/>
      </c>
      <c r="J98" s="5" t="str">
        <f ca="1">IFERROR(_xludf.XLOOKUP(H98,BD_VACANTES!A:A,BD_VACANTES!E:E,""),"")</f>
        <v/>
      </c>
      <c r="K98" s="5"/>
      <c r="L98" s="5"/>
      <c r="M98" s="5"/>
      <c r="N98" s="5"/>
      <c r="O98" s="5"/>
      <c r="P98" s="6"/>
      <c r="Q98" s="8" t="str">
        <f t="shared" ca="1" si="3"/>
        <v/>
      </c>
      <c r="R98" s="7"/>
      <c r="S98" s="5"/>
    </row>
    <row r="99" spans="1:19">
      <c r="A99" s="5" t="str">
        <f t="shared" si="2"/>
        <v/>
      </c>
      <c r="B99" s="6"/>
      <c r="C99" s="5"/>
      <c r="D99" s="5"/>
      <c r="E99" s="5"/>
      <c r="F99" s="5"/>
      <c r="G99" s="5"/>
      <c r="H99" s="5"/>
      <c r="I99" s="5" t="str">
        <f ca="1">IFERROR(_xludf.XLOOKUP(H99,BD_VACANTES!A:A,BD_VACANTES!C:C,""),"")</f>
        <v/>
      </c>
      <c r="J99" s="5" t="str">
        <f ca="1">IFERROR(_xludf.XLOOKUP(H99,BD_VACANTES!A:A,BD_VACANTES!E:E,""),"")</f>
        <v/>
      </c>
      <c r="K99" s="5"/>
      <c r="L99" s="5"/>
      <c r="M99" s="5"/>
      <c r="N99" s="5"/>
      <c r="O99" s="5"/>
      <c r="P99" s="6"/>
      <c r="Q99" s="8" t="str">
        <f t="shared" ca="1" si="3"/>
        <v/>
      </c>
      <c r="R99" s="7"/>
      <c r="S99" s="5"/>
    </row>
    <row r="100" spans="1:19">
      <c r="A100" s="5" t="str">
        <f t="shared" si="2"/>
        <v/>
      </c>
      <c r="B100" s="6"/>
      <c r="C100" s="5"/>
      <c r="D100" s="5"/>
      <c r="E100" s="5"/>
      <c r="F100" s="5"/>
      <c r="G100" s="5"/>
      <c r="H100" s="5"/>
      <c r="I100" s="5" t="str">
        <f ca="1">IFERROR(_xludf.XLOOKUP(H100,BD_VACANTES!A:A,BD_VACANTES!C:C,""),"")</f>
        <v/>
      </c>
      <c r="J100" s="5" t="str">
        <f ca="1">IFERROR(_xludf.XLOOKUP(H100,BD_VACANTES!A:A,BD_VACANTES!E:E,""),"")</f>
        <v/>
      </c>
      <c r="K100" s="5"/>
      <c r="L100" s="5"/>
      <c r="M100" s="5"/>
      <c r="N100" s="5"/>
      <c r="O100" s="5"/>
      <c r="P100" s="6"/>
      <c r="Q100" s="8" t="str">
        <f t="shared" ca="1" si="3"/>
        <v/>
      </c>
      <c r="R100" s="7"/>
      <c r="S100" s="5"/>
    </row>
    <row r="101" spans="1:19">
      <c r="A101" s="5" t="str">
        <f t="shared" si="2"/>
        <v/>
      </c>
      <c r="B101" s="6"/>
      <c r="C101" s="5"/>
      <c r="D101" s="5"/>
      <c r="E101" s="5"/>
      <c r="F101" s="5"/>
      <c r="G101" s="5"/>
      <c r="H101" s="5"/>
      <c r="I101" s="5" t="str">
        <f ca="1">IFERROR(_xludf.XLOOKUP(H101,BD_VACANTES!A:A,BD_VACANTES!C:C,""),"")</f>
        <v/>
      </c>
      <c r="J101" s="5" t="str">
        <f ca="1">IFERROR(_xludf.XLOOKUP(H101,BD_VACANTES!A:A,BD_VACANTES!E:E,""),"")</f>
        <v/>
      </c>
      <c r="K101" s="5"/>
      <c r="L101" s="5"/>
      <c r="M101" s="5"/>
      <c r="N101" s="5"/>
      <c r="O101" s="5"/>
      <c r="P101" s="6"/>
      <c r="Q101" s="8" t="str">
        <f t="shared" ca="1" si="3"/>
        <v/>
      </c>
      <c r="R101" s="7"/>
      <c r="S101" s="5"/>
    </row>
    <row r="102" spans="1:19">
      <c r="A102" s="5" t="str">
        <f t="shared" si="2"/>
        <v/>
      </c>
      <c r="B102" s="6"/>
      <c r="C102" s="5"/>
      <c r="D102" s="5"/>
      <c r="E102" s="5"/>
      <c r="F102" s="5"/>
      <c r="G102" s="5"/>
      <c r="H102" s="5"/>
      <c r="I102" s="5" t="str">
        <f ca="1">IFERROR(_xludf.XLOOKUP(H102,BD_VACANTES!A:A,BD_VACANTES!C:C,""),"")</f>
        <v/>
      </c>
      <c r="J102" s="5" t="str">
        <f ca="1">IFERROR(_xludf.XLOOKUP(H102,BD_VACANTES!A:A,BD_VACANTES!E:E,""),"")</f>
        <v/>
      </c>
      <c r="K102" s="5"/>
      <c r="L102" s="5"/>
      <c r="M102" s="5"/>
      <c r="N102" s="5"/>
      <c r="O102" s="5"/>
      <c r="P102" s="6"/>
      <c r="Q102" s="8" t="str">
        <f t="shared" ca="1" si="3"/>
        <v/>
      </c>
      <c r="R102" s="7"/>
      <c r="S102" s="5"/>
    </row>
    <row r="103" spans="1:19">
      <c r="A103" s="5" t="str">
        <f t="shared" si="2"/>
        <v/>
      </c>
      <c r="B103" s="6"/>
      <c r="C103" s="5"/>
      <c r="D103" s="5"/>
      <c r="E103" s="5"/>
      <c r="F103" s="5"/>
      <c r="G103" s="5"/>
      <c r="H103" s="5"/>
      <c r="I103" s="5" t="str">
        <f ca="1">IFERROR(_xludf.XLOOKUP(H103,BD_VACANTES!A:A,BD_VACANTES!C:C,""),"")</f>
        <v/>
      </c>
      <c r="J103" s="5" t="str">
        <f ca="1">IFERROR(_xludf.XLOOKUP(H103,BD_VACANTES!A:A,BD_VACANTES!E:E,""),"")</f>
        <v/>
      </c>
      <c r="K103" s="5"/>
      <c r="L103" s="5"/>
      <c r="M103" s="5"/>
      <c r="N103" s="5"/>
      <c r="O103" s="5"/>
      <c r="P103" s="6"/>
      <c r="Q103" s="8" t="str">
        <f t="shared" ca="1" si="3"/>
        <v/>
      </c>
      <c r="R103" s="7"/>
      <c r="S103" s="5"/>
    </row>
    <row r="104" spans="1:19">
      <c r="A104" s="5" t="str">
        <f t="shared" si="2"/>
        <v/>
      </c>
      <c r="B104" s="6"/>
      <c r="C104" s="5"/>
      <c r="D104" s="5"/>
      <c r="E104" s="5"/>
      <c r="F104" s="5"/>
      <c r="G104" s="5"/>
      <c r="H104" s="5"/>
      <c r="I104" s="5" t="str">
        <f ca="1">IFERROR(_xludf.XLOOKUP(H104,BD_VACANTES!A:A,BD_VACANTES!C:C,""),"")</f>
        <v/>
      </c>
      <c r="J104" s="5" t="str">
        <f ca="1">IFERROR(_xludf.XLOOKUP(H104,BD_VACANTES!A:A,BD_VACANTES!E:E,""),"")</f>
        <v/>
      </c>
      <c r="K104" s="5"/>
      <c r="L104" s="5"/>
      <c r="M104" s="5"/>
      <c r="N104" s="5"/>
      <c r="O104" s="5"/>
      <c r="P104" s="6"/>
      <c r="Q104" s="8" t="str">
        <f t="shared" ca="1" si="3"/>
        <v/>
      </c>
      <c r="R104" s="7"/>
      <c r="S104" s="5"/>
    </row>
    <row r="105" spans="1:19">
      <c r="A105" s="5" t="str">
        <f t="shared" si="2"/>
        <v/>
      </c>
      <c r="B105" s="6"/>
      <c r="C105" s="5"/>
      <c r="D105" s="5"/>
      <c r="E105" s="5"/>
      <c r="F105" s="5"/>
      <c r="G105" s="5"/>
      <c r="H105" s="5"/>
      <c r="I105" s="5" t="str">
        <f ca="1">IFERROR(_xludf.XLOOKUP(H105,BD_VACANTES!A:A,BD_VACANTES!C:C,""),"")</f>
        <v/>
      </c>
      <c r="J105" s="5" t="str">
        <f ca="1">IFERROR(_xludf.XLOOKUP(H105,BD_VACANTES!A:A,BD_VACANTES!E:E,""),"")</f>
        <v/>
      </c>
      <c r="K105" s="5"/>
      <c r="L105" s="5"/>
      <c r="M105" s="5"/>
      <c r="N105" s="5"/>
      <c r="O105" s="5"/>
      <c r="P105" s="6"/>
      <c r="Q105" s="8" t="str">
        <f t="shared" ca="1" si="3"/>
        <v/>
      </c>
      <c r="R105" s="7"/>
      <c r="S105" s="5"/>
    </row>
    <row r="106" spans="1:19">
      <c r="A106" s="5" t="str">
        <f t="shared" si="2"/>
        <v/>
      </c>
      <c r="B106" s="6"/>
      <c r="C106" s="5"/>
      <c r="D106" s="5"/>
      <c r="E106" s="5"/>
      <c r="F106" s="5"/>
      <c r="G106" s="5"/>
      <c r="H106" s="5"/>
      <c r="I106" s="5" t="str">
        <f ca="1">IFERROR(_xludf.XLOOKUP(H106,BD_VACANTES!A:A,BD_VACANTES!C:C,""),"")</f>
        <v/>
      </c>
      <c r="J106" s="5" t="str">
        <f ca="1">IFERROR(_xludf.XLOOKUP(H106,BD_VACANTES!A:A,BD_VACANTES!E:E,""),"")</f>
        <v/>
      </c>
      <c r="K106" s="5"/>
      <c r="L106" s="5"/>
      <c r="M106" s="5"/>
      <c r="N106" s="5"/>
      <c r="O106" s="5"/>
      <c r="P106" s="6"/>
      <c r="Q106" s="8" t="str">
        <f t="shared" ca="1" si="3"/>
        <v/>
      </c>
      <c r="R106" s="7"/>
      <c r="S106" s="5"/>
    </row>
    <row r="107" spans="1:19">
      <c r="A107" s="5" t="str">
        <f t="shared" si="2"/>
        <v/>
      </c>
      <c r="B107" s="6"/>
      <c r="C107" s="5"/>
      <c r="D107" s="5"/>
      <c r="E107" s="5"/>
      <c r="F107" s="5"/>
      <c r="G107" s="5"/>
      <c r="H107" s="5"/>
      <c r="I107" s="5" t="str">
        <f ca="1">IFERROR(_xludf.XLOOKUP(H107,BD_VACANTES!A:A,BD_VACANTES!C:C,""),"")</f>
        <v/>
      </c>
      <c r="J107" s="5" t="str">
        <f ca="1">IFERROR(_xludf.XLOOKUP(H107,BD_VACANTES!A:A,BD_VACANTES!E:E,""),"")</f>
        <v/>
      </c>
      <c r="K107" s="5"/>
      <c r="L107" s="5"/>
      <c r="M107" s="5"/>
      <c r="N107" s="5"/>
      <c r="O107" s="5"/>
      <c r="P107" s="6"/>
      <c r="Q107" s="8" t="str">
        <f t="shared" ca="1" si="3"/>
        <v/>
      </c>
      <c r="R107" s="7"/>
      <c r="S107" s="5"/>
    </row>
    <row r="108" spans="1:19">
      <c r="A108" s="5" t="str">
        <f t="shared" si="2"/>
        <v/>
      </c>
      <c r="B108" s="6"/>
      <c r="C108" s="5"/>
      <c r="D108" s="5"/>
      <c r="E108" s="5"/>
      <c r="F108" s="5"/>
      <c r="G108" s="5"/>
      <c r="H108" s="5"/>
      <c r="I108" s="5" t="str">
        <f ca="1">IFERROR(_xludf.XLOOKUP(H108,BD_VACANTES!A:A,BD_VACANTES!C:C,""),"")</f>
        <v/>
      </c>
      <c r="J108" s="5" t="str">
        <f ca="1">IFERROR(_xludf.XLOOKUP(H108,BD_VACANTES!A:A,BD_VACANTES!E:E,""),"")</f>
        <v/>
      </c>
      <c r="K108" s="5"/>
      <c r="L108" s="5"/>
      <c r="M108" s="5"/>
      <c r="N108" s="5"/>
      <c r="O108" s="5"/>
      <c r="P108" s="6"/>
      <c r="Q108" s="8" t="str">
        <f t="shared" ca="1" si="3"/>
        <v/>
      </c>
      <c r="R108" s="7"/>
      <c r="S108" s="5"/>
    </row>
    <row r="109" spans="1:19">
      <c r="A109" s="5" t="str">
        <f t="shared" si="2"/>
        <v/>
      </c>
      <c r="B109" s="6"/>
      <c r="C109" s="5"/>
      <c r="D109" s="5"/>
      <c r="E109" s="5"/>
      <c r="F109" s="5"/>
      <c r="G109" s="5"/>
      <c r="H109" s="5"/>
      <c r="I109" s="5" t="str">
        <f ca="1">IFERROR(_xludf.XLOOKUP(H109,BD_VACANTES!A:A,BD_VACANTES!C:C,""),"")</f>
        <v/>
      </c>
      <c r="J109" s="5" t="str">
        <f ca="1">IFERROR(_xludf.XLOOKUP(H109,BD_VACANTES!A:A,BD_VACANTES!E:E,""),"")</f>
        <v/>
      </c>
      <c r="K109" s="5"/>
      <c r="L109" s="5"/>
      <c r="M109" s="5"/>
      <c r="N109" s="5"/>
      <c r="O109" s="5"/>
      <c r="P109" s="6"/>
      <c r="Q109" s="8" t="str">
        <f t="shared" ca="1" si="3"/>
        <v/>
      </c>
      <c r="R109" s="7"/>
      <c r="S109" s="5"/>
    </row>
    <row r="110" spans="1:19">
      <c r="A110" s="5" t="str">
        <f t="shared" si="2"/>
        <v/>
      </c>
      <c r="B110" s="6"/>
      <c r="C110" s="5"/>
      <c r="D110" s="5"/>
      <c r="E110" s="5"/>
      <c r="F110" s="5"/>
      <c r="G110" s="5"/>
      <c r="H110" s="5"/>
      <c r="I110" s="5" t="str">
        <f ca="1">IFERROR(_xludf.XLOOKUP(H110,BD_VACANTES!A:A,BD_VACANTES!C:C,""),"")</f>
        <v/>
      </c>
      <c r="J110" s="5" t="str">
        <f ca="1">IFERROR(_xludf.XLOOKUP(H110,BD_VACANTES!A:A,BD_VACANTES!E:E,""),"")</f>
        <v/>
      </c>
      <c r="K110" s="5"/>
      <c r="L110" s="5"/>
      <c r="M110" s="5"/>
      <c r="N110" s="5"/>
      <c r="O110" s="5"/>
      <c r="P110" s="6"/>
      <c r="Q110" s="8" t="str">
        <f t="shared" ca="1" si="3"/>
        <v/>
      </c>
      <c r="R110" s="7"/>
      <c r="S110" s="5"/>
    </row>
    <row r="111" spans="1:19">
      <c r="A111" s="5" t="str">
        <f t="shared" si="2"/>
        <v/>
      </c>
      <c r="B111" s="6"/>
      <c r="C111" s="5"/>
      <c r="D111" s="5"/>
      <c r="E111" s="5"/>
      <c r="F111" s="5"/>
      <c r="G111" s="5"/>
      <c r="H111" s="5"/>
      <c r="I111" s="5" t="str">
        <f ca="1">IFERROR(_xludf.XLOOKUP(H111,BD_VACANTES!A:A,BD_VACANTES!C:C,""),"")</f>
        <v/>
      </c>
      <c r="J111" s="5" t="str">
        <f ca="1">IFERROR(_xludf.XLOOKUP(H111,BD_VACANTES!A:A,BD_VACANTES!E:E,""),"")</f>
        <v/>
      </c>
      <c r="K111" s="5"/>
      <c r="L111" s="5"/>
      <c r="M111" s="5"/>
      <c r="N111" s="5"/>
      <c r="O111" s="5"/>
      <c r="P111" s="6"/>
      <c r="Q111" s="8" t="str">
        <f t="shared" ca="1" si="3"/>
        <v/>
      </c>
      <c r="R111" s="7"/>
      <c r="S111" s="5"/>
    </row>
    <row r="112" spans="1:19">
      <c r="A112" s="5" t="str">
        <f t="shared" si="2"/>
        <v/>
      </c>
      <c r="B112" s="6"/>
      <c r="C112" s="5"/>
      <c r="D112" s="5"/>
      <c r="E112" s="5"/>
      <c r="F112" s="5"/>
      <c r="G112" s="5"/>
      <c r="H112" s="5"/>
      <c r="I112" s="5" t="str">
        <f ca="1">IFERROR(_xludf.XLOOKUP(H112,BD_VACANTES!A:A,BD_VACANTES!C:C,""),"")</f>
        <v/>
      </c>
      <c r="J112" s="5" t="str">
        <f ca="1">IFERROR(_xludf.XLOOKUP(H112,BD_VACANTES!A:A,BD_VACANTES!E:E,""),"")</f>
        <v/>
      </c>
      <c r="K112" s="5"/>
      <c r="L112" s="5"/>
      <c r="M112" s="5"/>
      <c r="N112" s="5"/>
      <c r="O112" s="5"/>
      <c r="P112" s="6"/>
      <c r="Q112" s="8" t="str">
        <f t="shared" ca="1" si="3"/>
        <v/>
      </c>
      <c r="R112" s="7"/>
      <c r="S112" s="5"/>
    </row>
    <row r="113" spans="1:19">
      <c r="A113" s="5" t="str">
        <f t="shared" si="2"/>
        <v/>
      </c>
      <c r="B113" s="6"/>
      <c r="C113" s="5"/>
      <c r="D113" s="5"/>
      <c r="E113" s="5"/>
      <c r="F113" s="5"/>
      <c r="G113" s="5"/>
      <c r="H113" s="5"/>
      <c r="I113" s="5" t="str">
        <f ca="1">IFERROR(_xludf.XLOOKUP(H113,BD_VACANTES!A:A,BD_VACANTES!C:C,""),"")</f>
        <v/>
      </c>
      <c r="J113" s="5" t="str">
        <f ca="1">IFERROR(_xludf.XLOOKUP(H113,BD_VACANTES!A:A,BD_VACANTES!E:E,""),"")</f>
        <v/>
      </c>
      <c r="K113" s="5"/>
      <c r="L113" s="5"/>
      <c r="M113" s="5"/>
      <c r="N113" s="5"/>
      <c r="O113" s="5"/>
      <c r="P113" s="6"/>
      <c r="Q113" s="8" t="str">
        <f t="shared" ca="1" si="3"/>
        <v/>
      </c>
      <c r="R113" s="7"/>
      <c r="S113" s="5"/>
    </row>
    <row r="114" spans="1:19">
      <c r="A114" s="5" t="str">
        <f t="shared" si="2"/>
        <v/>
      </c>
      <c r="B114" s="6"/>
      <c r="C114" s="5"/>
      <c r="D114" s="5"/>
      <c r="E114" s="5"/>
      <c r="F114" s="5"/>
      <c r="G114" s="5"/>
      <c r="H114" s="5"/>
      <c r="I114" s="5" t="str">
        <f ca="1">IFERROR(_xludf.XLOOKUP(H114,BD_VACANTES!A:A,BD_VACANTES!C:C,""),"")</f>
        <v/>
      </c>
      <c r="J114" s="5" t="str">
        <f ca="1">IFERROR(_xludf.XLOOKUP(H114,BD_VACANTES!A:A,BD_VACANTES!E:E,""),"")</f>
        <v/>
      </c>
      <c r="K114" s="5"/>
      <c r="L114" s="5"/>
      <c r="M114" s="5"/>
      <c r="N114" s="5"/>
      <c r="O114" s="5"/>
      <c r="P114" s="6"/>
      <c r="Q114" s="8" t="str">
        <f t="shared" ca="1" si="3"/>
        <v/>
      </c>
      <c r="R114" s="7"/>
      <c r="S114" s="5"/>
    </row>
    <row r="115" spans="1:19">
      <c r="A115" s="5" t="str">
        <f t="shared" si="2"/>
        <v/>
      </c>
      <c r="B115" s="6"/>
      <c r="C115" s="5"/>
      <c r="D115" s="5"/>
      <c r="E115" s="5"/>
      <c r="F115" s="5"/>
      <c r="G115" s="5"/>
      <c r="H115" s="5"/>
      <c r="I115" s="5" t="str">
        <f ca="1">IFERROR(_xludf.XLOOKUP(H115,BD_VACANTES!A:A,BD_VACANTES!C:C,""),"")</f>
        <v/>
      </c>
      <c r="J115" s="5" t="str">
        <f ca="1">IFERROR(_xludf.XLOOKUP(H115,BD_VACANTES!A:A,BD_VACANTES!E:E,""),"")</f>
        <v/>
      </c>
      <c r="K115" s="5"/>
      <c r="L115" s="5"/>
      <c r="M115" s="5"/>
      <c r="N115" s="5"/>
      <c r="O115" s="5"/>
      <c r="P115" s="6"/>
      <c r="Q115" s="8" t="str">
        <f t="shared" ca="1" si="3"/>
        <v/>
      </c>
      <c r="R115" s="7"/>
      <c r="S115" s="5"/>
    </row>
    <row r="116" spans="1:19">
      <c r="A116" s="5" t="str">
        <f t="shared" si="2"/>
        <v/>
      </c>
      <c r="B116" s="6"/>
      <c r="C116" s="5"/>
      <c r="D116" s="5"/>
      <c r="E116" s="5"/>
      <c r="F116" s="5"/>
      <c r="G116" s="5"/>
      <c r="H116" s="5"/>
      <c r="I116" s="5" t="str">
        <f ca="1">IFERROR(_xludf.XLOOKUP(H116,BD_VACANTES!A:A,BD_VACANTES!C:C,""),"")</f>
        <v/>
      </c>
      <c r="J116" s="5" t="str">
        <f ca="1">IFERROR(_xludf.XLOOKUP(H116,BD_VACANTES!A:A,BD_VACANTES!E:E,""),"")</f>
        <v/>
      </c>
      <c r="K116" s="5"/>
      <c r="L116" s="5"/>
      <c r="M116" s="5"/>
      <c r="N116" s="5"/>
      <c r="O116" s="5"/>
      <c r="P116" s="6"/>
      <c r="Q116" s="8" t="str">
        <f t="shared" ca="1" si="3"/>
        <v/>
      </c>
      <c r="R116" s="7"/>
      <c r="S116" s="5"/>
    </row>
    <row r="117" spans="1:19">
      <c r="A117" s="5" t="str">
        <f t="shared" si="2"/>
        <v/>
      </c>
      <c r="B117" s="6"/>
      <c r="C117" s="5"/>
      <c r="D117" s="5"/>
      <c r="E117" s="5"/>
      <c r="F117" s="5"/>
      <c r="G117" s="5"/>
      <c r="H117" s="5"/>
      <c r="I117" s="5" t="str">
        <f ca="1">IFERROR(_xludf.XLOOKUP(H117,BD_VACANTES!A:A,BD_VACANTES!C:C,""),"")</f>
        <v/>
      </c>
      <c r="J117" s="5" t="str">
        <f ca="1">IFERROR(_xludf.XLOOKUP(H117,BD_VACANTES!A:A,BD_VACANTES!E:E,""),"")</f>
        <v/>
      </c>
      <c r="K117" s="5"/>
      <c r="L117" s="5"/>
      <c r="M117" s="5"/>
      <c r="N117" s="5"/>
      <c r="O117" s="5"/>
      <c r="P117" s="6"/>
      <c r="Q117" s="8" t="str">
        <f t="shared" ca="1" si="3"/>
        <v/>
      </c>
      <c r="R117" s="7"/>
      <c r="S117" s="5"/>
    </row>
    <row r="118" spans="1:19">
      <c r="A118" s="5" t="str">
        <f t="shared" si="2"/>
        <v/>
      </c>
      <c r="B118" s="6"/>
      <c r="C118" s="5"/>
      <c r="D118" s="5"/>
      <c r="E118" s="5"/>
      <c r="F118" s="5"/>
      <c r="G118" s="5"/>
      <c r="H118" s="5"/>
      <c r="I118" s="5" t="str">
        <f ca="1">IFERROR(_xludf.XLOOKUP(H118,BD_VACANTES!A:A,BD_VACANTES!C:C,""),"")</f>
        <v/>
      </c>
      <c r="J118" s="5" t="str">
        <f ca="1">IFERROR(_xludf.XLOOKUP(H118,BD_VACANTES!A:A,BD_VACANTES!E:E,""),"")</f>
        <v/>
      </c>
      <c r="K118" s="5"/>
      <c r="L118" s="5"/>
      <c r="M118" s="5"/>
      <c r="N118" s="5"/>
      <c r="O118" s="5"/>
      <c r="P118" s="6"/>
      <c r="Q118" s="8" t="str">
        <f t="shared" ca="1" si="3"/>
        <v/>
      </c>
      <c r="R118" s="7"/>
      <c r="S118" s="5"/>
    </row>
    <row r="119" spans="1:19">
      <c r="A119" s="5" t="str">
        <f t="shared" si="2"/>
        <v/>
      </c>
      <c r="B119" s="6"/>
      <c r="C119" s="5"/>
      <c r="D119" s="5"/>
      <c r="E119" s="5"/>
      <c r="F119" s="5"/>
      <c r="G119" s="5"/>
      <c r="H119" s="5"/>
      <c r="I119" s="5" t="str">
        <f ca="1">IFERROR(_xludf.XLOOKUP(H119,BD_VACANTES!A:A,BD_VACANTES!C:C,""),"")</f>
        <v/>
      </c>
      <c r="J119" s="5" t="str">
        <f ca="1">IFERROR(_xludf.XLOOKUP(H119,BD_VACANTES!A:A,BD_VACANTES!E:E,""),"")</f>
        <v/>
      </c>
      <c r="K119" s="5"/>
      <c r="L119" s="5"/>
      <c r="M119" s="5"/>
      <c r="N119" s="5"/>
      <c r="O119" s="5"/>
      <c r="P119" s="6"/>
      <c r="Q119" s="8" t="str">
        <f t="shared" ca="1" si="3"/>
        <v/>
      </c>
      <c r="R119" s="7"/>
      <c r="S119" s="5"/>
    </row>
    <row r="120" spans="1:19">
      <c r="A120" s="5" t="str">
        <f t="shared" si="2"/>
        <v/>
      </c>
      <c r="B120" s="6"/>
      <c r="C120" s="5"/>
      <c r="D120" s="5"/>
      <c r="E120" s="5"/>
      <c r="F120" s="5"/>
      <c r="G120" s="5"/>
      <c r="H120" s="5"/>
      <c r="I120" s="5" t="str">
        <f ca="1">IFERROR(_xludf.XLOOKUP(H120,BD_VACANTES!A:A,BD_VACANTES!C:C,""),"")</f>
        <v/>
      </c>
      <c r="J120" s="5" t="str">
        <f ca="1">IFERROR(_xludf.XLOOKUP(H120,BD_VACANTES!A:A,BD_VACANTES!E:E,""),"")</f>
        <v/>
      </c>
      <c r="K120" s="5"/>
      <c r="L120" s="5"/>
      <c r="M120" s="5"/>
      <c r="N120" s="5"/>
      <c r="O120" s="5"/>
      <c r="P120" s="6"/>
      <c r="Q120" s="8" t="str">
        <f t="shared" ca="1" si="3"/>
        <v/>
      </c>
      <c r="R120" s="7"/>
      <c r="S120" s="5"/>
    </row>
    <row r="121" spans="1:19">
      <c r="A121" s="5" t="str">
        <f t="shared" si="2"/>
        <v/>
      </c>
      <c r="B121" s="6"/>
      <c r="C121" s="5"/>
      <c r="D121" s="5"/>
      <c r="E121" s="5"/>
      <c r="F121" s="5"/>
      <c r="G121" s="5"/>
      <c r="H121" s="5"/>
      <c r="I121" s="5" t="str">
        <f ca="1">IFERROR(_xludf.XLOOKUP(H121,BD_VACANTES!A:A,BD_VACANTES!C:C,""),"")</f>
        <v/>
      </c>
      <c r="J121" s="5" t="str">
        <f ca="1">IFERROR(_xludf.XLOOKUP(H121,BD_VACANTES!A:A,BD_VACANTES!E:E,""),"")</f>
        <v/>
      </c>
      <c r="K121" s="5"/>
      <c r="L121" s="5"/>
      <c r="M121" s="5"/>
      <c r="N121" s="5"/>
      <c r="O121" s="5"/>
      <c r="P121" s="6"/>
      <c r="Q121" s="8" t="str">
        <f t="shared" ca="1" si="3"/>
        <v/>
      </c>
      <c r="R121" s="7"/>
      <c r="S121" s="5"/>
    </row>
    <row r="122" spans="1:19">
      <c r="A122" s="5" t="str">
        <f t="shared" si="2"/>
        <v/>
      </c>
      <c r="B122" s="6"/>
      <c r="C122" s="5"/>
      <c r="D122" s="5"/>
      <c r="E122" s="5"/>
      <c r="F122" s="5"/>
      <c r="G122" s="5"/>
      <c r="H122" s="5"/>
      <c r="I122" s="5" t="str">
        <f ca="1">IFERROR(_xludf.XLOOKUP(H122,BD_VACANTES!A:A,BD_VACANTES!C:C,""),"")</f>
        <v/>
      </c>
      <c r="J122" s="5" t="str">
        <f ca="1">IFERROR(_xludf.XLOOKUP(H122,BD_VACANTES!A:A,BD_VACANTES!E:E,""),"")</f>
        <v/>
      </c>
      <c r="K122" s="5"/>
      <c r="L122" s="5"/>
      <c r="M122" s="5"/>
      <c r="N122" s="5"/>
      <c r="O122" s="5"/>
      <c r="P122" s="6"/>
      <c r="Q122" s="8" t="str">
        <f t="shared" ca="1" si="3"/>
        <v/>
      </c>
      <c r="R122" s="7"/>
      <c r="S122" s="5"/>
    </row>
    <row r="123" spans="1:19">
      <c r="A123" s="5" t="str">
        <f t="shared" si="2"/>
        <v/>
      </c>
      <c r="B123" s="6"/>
      <c r="C123" s="5"/>
      <c r="D123" s="5"/>
      <c r="E123" s="5"/>
      <c r="F123" s="5"/>
      <c r="G123" s="5"/>
      <c r="H123" s="5"/>
      <c r="I123" s="5" t="str">
        <f ca="1">IFERROR(_xludf.XLOOKUP(H123,BD_VACANTES!A:A,BD_VACANTES!C:C,""),"")</f>
        <v/>
      </c>
      <c r="J123" s="5" t="str">
        <f ca="1">IFERROR(_xludf.XLOOKUP(H123,BD_VACANTES!A:A,BD_VACANTES!E:E,""),"")</f>
        <v/>
      </c>
      <c r="K123" s="5"/>
      <c r="L123" s="5"/>
      <c r="M123" s="5"/>
      <c r="N123" s="5"/>
      <c r="O123" s="5"/>
      <c r="P123" s="6"/>
      <c r="Q123" s="8" t="str">
        <f t="shared" ca="1" si="3"/>
        <v/>
      </c>
      <c r="R123" s="7"/>
      <c r="S123" s="5"/>
    </row>
    <row r="124" spans="1:19">
      <c r="A124" s="5" t="str">
        <f t="shared" si="2"/>
        <v/>
      </c>
      <c r="B124" s="6"/>
      <c r="C124" s="5"/>
      <c r="D124" s="5"/>
      <c r="E124" s="5"/>
      <c r="F124" s="5"/>
      <c r="G124" s="5"/>
      <c r="H124" s="5"/>
      <c r="I124" s="5" t="str">
        <f ca="1">IFERROR(_xludf.XLOOKUP(H124,BD_VACANTES!A:A,BD_VACANTES!C:C,""),"")</f>
        <v/>
      </c>
      <c r="J124" s="5" t="str">
        <f ca="1">IFERROR(_xludf.XLOOKUP(H124,BD_VACANTES!A:A,BD_VACANTES!E:E,""),"")</f>
        <v/>
      </c>
      <c r="K124" s="5"/>
      <c r="L124" s="5"/>
      <c r="M124" s="5"/>
      <c r="N124" s="5"/>
      <c r="O124" s="5"/>
      <c r="P124" s="6"/>
      <c r="Q124" s="8" t="str">
        <f t="shared" ca="1" si="3"/>
        <v/>
      </c>
      <c r="R124" s="7"/>
      <c r="S124" s="5"/>
    </row>
    <row r="125" spans="1:19">
      <c r="A125" s="5" t="str">
        <f t="shared" si="2"/>
        <v/>
      </c>
      <c r="B125" s="6"/>
      <c r="C125" s="5"/>
      <c r="D125" s="5"/>
      <c r="E125" s="5"/>
      <c r="F125" s="5"/>
      <c r="G125" s="5"/>
      <c r="H125" s="5"/>
      <c r="I125" s="5" t="str">
        <f ca="1">IFERROR(_xludf.XLOOKUP(H125,BD_VACANTES!A:A,BD_VACANTES!C:C,""),"")</f>
        <v/>
      </c>
      <c r="J125" s="5" t="str">
        <f ca="1">IFERROR(_xludf.XLOOKUP(H125,BD_VACANTES!A:A,BD_VACANTES!E:E,""),"")</f>
        <v/>
      </c>
      <c r="K125" s="5"/>
      <c r="L125" s="5"/>
      <c r="M125" s="5"/>
      <c r="N125" s="5"/>
      <c r="O125" s="5"/>
      <c r="P125" s="6"/>
      <c r="Q125" s="8" t="str">
        <f t="shared" ca="1" si="3"/>
        <v/>
      </c>
      <c r="R125" s="7"/>
      <c r="S125" s="5"/>
    </row>
    <row r="126" spans="1:19">
      <c r="A126" s="5" t="str">
        <f t="shared" si="2"/>
        <v/>
      </c>
      <c r="B126" s="6"/>
      <c r="C126" s="5"/>
      <c r="D126" s="5"/>
      <c r="E126" s="5"/>
      <c r="F126" s="5"/>
      <c r="G126" s="5"/>
      <c r="H126" s="5"/>
      <c r="I126" s="5" t="str">
        <f ca="1">IFERROR(_xludf.XLOOKUP(H126,BD_VACANTES!A:A,BD_VACANTES!C:C,""),"")</f>
        <v/>
      </c>
      <c r="J126" s="5" t="str">
        <f ca="1">IFERROR(_xludf.XLOOKUP(H126,BD_VACANTES!A:A,BD_VACANTES!E:E,""),"")</f>
        <v/>
      </c>
      <c r="K126" s="5"/>
      <c r="L126" s="5"/>
      <c r="M126" s="5"/>
      <c r="N126" s="5"/>
      <c r="O126" s="5"/>
      <c r="P126" s="6"/>
      <c r="Q126" s="8" t="str">
        <f t="shared" ca="1" si="3"/>
        <v/>
      </c>
      <c r="R126" s="7"/>
      <c r="S126" s="5"/>
    </row>
    <row r="127" spans="1:19">
      <c r="A127" s="5" t="str">
        <f t="shared" si="2"/>
        <v/>
      </c>
      <c r="B127" s="6"/>
      <c r="C127" s="5"/>
      <c r="D127" s="5"/>
      <c r="E127" s="5"/>
      <c r="F127" s="5"/>
      <c r="G127" s="5"/>
      <c r="H127" s="5"/>
      <c r="I127" s="5" t="str">
        <f ca="1">IFERROR(_xludf.XLOOKUP(H127,BD_VACANTES!A:A,BD_VACANTES!C:C,""),"")</f>
        <v/>
      </c>
      <c r="J127" s="5" t="str">
        <f ca="1">IFERROR(_xludf.XLOOKUP(H127,BD_VACANTES!A:A,BD_VACANTES!E:E,""),"")</f>
        <v/>
      </c>
      <c r="K127" s="5"/>
      <c r="L127" s="5"/>
      <c r="M127" s="5"/>
      <c r="N127" s="5"/>
      <c r="O127" s="5"/>
      <c r="P127" s="6"/>
      <c r="Q127" s="8" t="str">
        <f t="shared" ca="1" si="3"/>
        <v/>
      </c>
      <c r="R127" s="7"/>
      <c r="S127" s="5"/>
    </row>
    <row r="128" spans="1:19">
      <c r="A128" s="5" t="str">
        <f t="shared" si="2"/>
        <v/>
      </c>
      <c r="B128" s="6"/>
      <c r="C128" s="5"/>
      <c r="D128" s="5"/>
      <c r="E128" s="5"/>
      <c r="F128" s="5"/>
      <c r="G128" s="5"/>
      <c r="H128" s="5"/>
      <c r="I128" s="5" t="str">
        <f ca="1">IFERROR(_xludf.XLOOKUP(H128,BD_VACANTES!A:A,BD_VACANTES!C:C,""),"")</f>
        <v/>
      </c>
      <c r="J128" s="5" t="str">
        <f ca="1">IFERROR(_xludf.XLOOKUP(H128,BD_VACANTES!A:A,BD_VACANTES!E:E,""),"")</f>
        <v/>
      </c>
      <c r="K128" s="5"/>
      <c r="L128" s="5"/>
      <c r="M128" s="5"/>
      <c r="N128" s="5"/>
      <c r="O128" s="5"/>
      <c r="P128" s="6"/>
      <c r="Q128" s="8" t="str">
        <f t="shared" ca="1" si="3"/>
        <v/>
      </c>
      <c r="R128" s="7"/>
      <c r="S128" s="5"/>
    </row>
    <row r="129" spans="1:19">
      <c r="A129" s="5" t="str">
        <f t="shared" si="2"/>
        <v/>
      </c>
      <c r="B129" s="6"/>
      <c r="C129" s="5"/>
      <c r="D129" s="5"/>
      <c r="E129" s="5"/>
      <c r="F129" s="5"/>
      <c r="G129" s="5"/>
      <c r="H129" s="5"/>
      <c r="I129" s="5" t="str">
        <f ca="1">IFERROR(_xludf.XLOOKUP(H129,BD_VACANTES!A:A,BD_VACANTES!C:C,""),"")</f>
        <v/>
      </c>
      <c r="J129" s="5" t="str">
        <f ca="1">IFERROR(_xludf.XLOOKUP(H129,BD_VACANTES!A:A,BD_VACANTES!E:E,""),"")</f>
        <v/>
      </c>
      <c r="K129" s="5"/>
      <c r="L129" s="5"/>
      <c r="M129" s="5"/>
      <c r="N129" s="5"/>
      <c r="O129" s="5"/>
      <c r="P129" s="6"/>
      <c r="Q129" s="8" t="str">
        <f t="shared" ca="1" si="3"/>
        <v/>
      </c>
      <c r="R129" s="7"/>
      <c r="S129" s="5"/>
    </row>
    <row r="130" spans="1:19">
      <c r="A130" s="5" t="str">
        <f t="shared" ref="A130:A193" si="4">IF(C130&lt;&gt;"","CAN-"&amp;TEXT(ROW()-1,"0000"),"")</f>
        <v/>
      </c>
      <c r="B130" s="6"/>
      <c r="C130" s="5"/>
      <c r="D130" s="5"/>
      <c r="E130" s="5"/>
      <c r="F130" s="5"/>
      <c r="G130" s="5"/>
      <c r="H130" s="5"/>
      <c r="I130" s="5" t="str">
        <f ca="1">IFERROR(_xludf.XLOOKUP(H130,BD_VACANTES!A:A,BD_VACANTES!C:C,""),"")</f>
        <v/>
      </c>
      <c r="J130" s="5" t="str">
        <f ca="1">IFERROR(_xludf.XLOOKUP(H130,BD_VACANTES!A:A,BD_VACANTES!E:E,""),"")</f>
        <v/>
      </c>
      <c r="K130" s="5"/>
      <c r="L130" s="5"/>
      <c r="M130" s="5"/>
      <c r="N130" s="5"/>
      <c r="O130" s="5"/>
      <c r="P130" s="6"/>
      <c r="Q130" s="8" t="str">
        <f t="shared" ref="Q130:Q193" ca="1" si="5">IF(B130="","",IF(P130&lt;&gt;"",P130-B130,TODAY()-B130))</f>
        <v/>
      </c>
      <c r="R130" s="7"/>
      <c r="S130" s="5"/>
    </row>
    <row r="131" spans="1:19">
      <c r="A131" s="5" t="str">
        <f t="shared" si="4"/>
        <v/>
      </c>
      <c r="B131" s="6"/>
      <c r="C131" s="5"/>
      <c r="D131" s="5"/>
      <c r="E131" s="5"/>
      <c r="F131" s="5"/>
      <c r="G131" s="5"/>
      <c r="H131" s="5"/>
      <c r="I131" s="5" t="str">
        <f ca="1">IFERROR(_xludf.XLOOKUP(H131,BD_VACANTES!A:A,BD_VACANTES!C:C,""),"")</f>
        <v/>
      </c>
      <c r="J131" s="5" t="str">
        <f ca="1">IFERROR(_xludf.XLOOKUP(H131,BD_VACANTES!A:A,BD_VACANTES!E:E,""),"")</f>
        <v/>
      </c>
      <c r="K131" s="5"/>
      <c r="L131" s="5"/>
      <c r="M131" s="5"/>
      <c r="N131" s="5"/>
      <c r="O131" s="5"/>
      <c r="P131" s="6"/>
      <c r="Q131" s="8" t="str">
        <f t="shared" ca="1" si="5"/>
        <v/>
      </c>
      <c r="R131" s="7"/>
      <c r="S131" s="5"/>
    </row>
    <row r="132" spans="1:19">
      <c r="A132" s="5" t="str">
        <f t="shared" si="4"/>
        <v/>
      </c>
      <c r="B132" s="6"/>
      <c r="C132" s="5"/>
      <c r="D132" s="5"/>
      <c r="E132" s="5"/>
      <c r="F132" s="5"/>
      <c r="G132" s="5"/>
      <c r="H132" s="5"/>
      <c r="I132" s="5" t="str">
        <f ca="1">IFERROR(_xludf.XLOOKUP(H132,BD_VACANTES!A:A,BD_VACANTES!C:C,""),"")</f>
        <v/>
      </c>
      <c r="J132" s="5" t="str">
        <f ca="1">IFERROR(_xludf.XLOOKUP(H132,BD_VACANTES!A:A,BD_VACANTES!E:E,""),"")</f>
        <v/>
      </c>
      <c r="K132" s="5"/>
      <c r="L132" s="5"/>
      <c r="M132" s="5"/>
      <c r="N132" s="5"/>
      <c r="O132" s="5"/>
      <c r="P132" s="6"/>
      <c r="Q132" s="8" t="str">
        <f t="shared" ca="1" si="5"/>
        <v/>
      </c>
      <c r="R132" s="7"/>
      <c r="S132" s="5"/>
    </row>
    <row r="133" spans="1:19">
      <c r="A133" s="5" t="str">
        <f t="shared" si="4"/>
        <v/>
      </c>
      <c r="B133" s="6"/>
      <c r="C133" s="5"/>
      <c r="D133" s="5"/>
      <c r="E133" s="5"/>
      <c r="F133" s="5"/>
      <c r="G133" s="5"/>
      <c r="H133" s="5"/>
      <c r="I133" s="5" t="str">
        <f ca="1">IFERROR(_xludf.XLOOKUP(H133,BD_VACANTES!A:A,BD_VACANTES!C:C,""),"")</f>
        <v/>
      </c>
      <c r="J133" s="5" t="str">
        <f ca="1">IFERROR(_xludf.XLOOKUP(H133,BD_VACANTES!A:A,BD_VACANTES!E:E,""),"")</f>
        <v/>
      </c>
      <c r="K133" s="5"/>
      <c r="L133" s="5"/>
      <c r="M133" s="5"/>
      <c r="N133" s="5"/>
      <c r="O133" s="5"/>
      <c r="P133" s="6"/>
      <c r="Q133" s="8" t="str">
        <f t="shared" ca="1" si="5"/>
        <v/>
      </c>
      <c r="R133" s="7"/>
      <c r="S133" s="5"/>
    </row>
    <row r="134" spans="1:19">
      <c r="A134" s="5" t="str">
        <f t="shared" si="4"/>
        <v/>
      </c>
      <c r="B134" s="6"/>
      <c r="C134" s="5"/>
      <c r="D134" s="5"/>
      <c r="E134" s="5"/>
      <c r="F134" s="5"/>
      <c r="G134" s="5"/>
      <c r="H134" s="5"/>
      <c r="I134" s="5" t="str">
        <f ca="1">IFERROR(_xludf.XLOOKUP(H134,BD_VACANTES!A:A,BD_VACANTES!C:C,""),"")</f>
        <v/>
      </c>
      <c r="J134" s="5" t="str">
        <f ca="1">IFERROR(_xludf.XLOOKUP(H134,BD_VACANTES!A:A,BD_VACANTES!E:E,""),"")</f>
        <v/>
      </c>
      <c r="K134" s="5"/>
      <c r="L134" s="5"/>
      <c r="M134" s="5"/>
      <c r="N134" s="5"/>
      <c r="O134" s="5"/>
      <c r="P134" s="6"/>
      <c r="Q134" s="8" t="str">
        <f t="shared" ca="1" si="5"/>
        <v/>
      </c>
      <c r="R134" s="7"/>
      <c r="S134" s="5"/>
    </row>
    <row r="135" spans="1:19">
      <c r="A135" s="5" t="str">
        <f t="shared" si="4"/>
        <v/>
      </c>
      <c r="B135" s="6"/>
      <c r="C135" s="5"/>
      <c r="D135" s="5"/>
      <c r="E135" s="5"/>
      <c r="F135" s="5"/>
      <c r="G135" s="5"/>
      <c r="H135" s="5"/>
      <c r="I135" s="5" t="str">
        <f ca="1">IFERROR(_xludf.XLOOKUP(H135,BD_VACANTES!A:A,BD_VACANTES!C:C,""),"")</f>
        <v/>
      </c>
      <c r="J135" s="5" t="str">
        <f ca="1">IFERROR(_xludf.XLOOKUP(H135,BD_VACANTES!A:A,BD_VACANTES!E:E,""),"")</f>
        <v/>
      </c>
      <c r="K135" s="5"/>
      <c r="L135" s="5"/>
      <c r="M135" s="5"/>
      <c r="N135" s="5"/>
      <c r="O135" s="5"/>
      <c r="P135" s="6"/>
      <c r="Q135" s="8" t="str">
        <f t="shared" ca="1" si="5"/>
        <v/>
      </c>
      <c r="R135" s="7"/>
      <c r="S135" s="5"/>
    </row>
    <row r="136" spans="1:19">
      <c r="A136" s="5" t="str">
        <f t="shared" si="4"/>
        <v/>
      </c>
      <c r="B136" s="6"/>
      <c r="C136" s="5"/>
      <c r="D136" s="5"/>
      <c r="E136" s="5"/>
      <c r="F136" s="5"/>
      <c r="G136" s="5"/>
      <c r="H136" s="5"/>
      <c r="I136" s="5" t="str">
        <f ca="1">IFERROR(_xludf.XLOOKUP(H136,BD_VACANTES!A:A,BD_VACANTES!C:C,""),"")</f>
        <v/>
      </c>
      <c r="J136" s="5" t="str">
        <f ca="1">IFERROR(_xludf.XLOOKUP(H136,BD_VACANTES!A:A,BD_VACANTES!E:E,""),"")</f>
        <v/>
      </c>
      <c r="K136" s="5"/>
      <c r="L136" s="5"/>
      <c r="M136" s="5"/>
      <c r="N136" s="5"/>
      <c r="O136" s="5"/>
      <c r="P136" s="6"/>
      <c r="Q136" s="8" t="str">
        <f t="shared" ca="1" si="5"/>
        <v/>
      </c>
      <c r="R136" s="7"/>
      <c r="S136" s="5"/>
    </row>
    <row r="137" spans="1:19">
      <c r="A137" s="5" t="str">
        <f t="shared" si="4"/>
        <v/>
      </c>
      <c r="B137" s="6"/>
      <c r="C137" s="5"/>
      <c r="D137" s="5"/>
      <c r="E137" s="5"/>
      <c r="F137" s="5"/>
      <c r="G137" s="5"/>
      <c r="H137" s="5"/>
      <c r="I137" s="5" t="str">
        <f ca="1">IFERROR(_xludf.XLOOKUP(H137,BD_VACANTES!A:A,BD_VACANTES!C:C,""),"")</f>
        <v/>
      </c>
      <c r="J137" s="5" t="str">
        <f ca="1">IFERROR(_xludf.XLOOKUP(H137,BD_VACANTES!A:A,BD_VACANTES!E:E,""),"")</f>
        <v/>
      </c>
      <c r="K137" s="5"/>
      <c r="L137" s="5"/>
      <c r="M137" s="5"/>
      <c r="N137" s="5"/>
      <c r="O137" s="5"/>
      <c r="P137" s="6"/>
      <c r="Q137" s="8" t="str">
        <f t="shared" ca="1" si="5"/>
        <v/>
      </c>
      <c r="R137" s="7"/>
      <c r="S137" s="5"/>
    </row>
    <row r="138" spans="1:19">
      <c r="A138" s="5" t="str">
        <f t="shared" si="4"/>
        <v/>
      </c>
      <c r="B138" s="6"/>
      <c r="C138" s="5"/>
      <c r="D138" s="5"/>
      <c r="E138" s="5"/>
      <c r="F138" s="5"/>
      <c r="G138" s="5"/>
      <c r="H138" s="5"/>
      <c r="I138" s="5" t="str">
        <f ca="1">IFERROR(_xludf.XLOOKUP(H138,BD_VACANTES!A:A,BD_VACANTES!C:C,""),"")</f>
        <v/>
      </c>
      <c r="J138" s="5" t="str">
        <f ca="1">IFERROR(_xludf.XLOOKUP(H138,BD_VACANTES!A:A,BD_VACANTES!E:E,""),"")</f>
        <v/>
      </c>
      <c r="K138" s="5"/>
      <c r="L138" s="5"/>
      <c r="M138" s="5"/>
      <c r="N138" s="5"/>
      <c r="O138" s="5"/>
      <c r="P138" s="6"/>
      <c r="Q138" s="8" t="str">
        <f t="shared" ca="1" si="5"/>
        <v/>
      </c>
      <c r="R138" s="7"/>
      <c r="S138" s="5"/>
    </row>
    <row r="139" spans="1:19">
      <c r="A139" s="5" t="str">
        <f t="shared" si="4"/>
        <v/>
      </c>
      <c r="B139" s="6"/>
      <c r="C139" s="5"/>
      <c r="D139" s="5"/>
      <c r="E139" s="5"/>
      <c r="F139" s="5"/>
      <c r="G139" s="5"/>
      <c r="H139" s="5"/>
      <c r="I139" s="5" t="str">
        <f ca="1">IFERROR(_xludf.XLOOKUP(H139,BD_VACANTES!A:A,BD_VACANTES!C:C,""),"")</f>
        <v/>
      </c>
      <c r="J139" s="5" t="str">
        <f ca="1">IFERROR(_xludf.XLOOKUP(H139,BD_VACANTES!A:A,BD_VACANTES!E:E,""),"")</f>
        <v/>
      </c>
      <c r="K139" s="5"/>
      <c r="L139" s="5"/>
      <c r="M139" s="5"/>
      <c r="N139" s="5"/>
      <c r="O139" s="5"/>
      <c r="P139" s="6"/>
      <c r="Q139" s="8" t="str">
        <f t="shared" ca="1" si="5"/>
        <v/>
      </c>
      <c r="R139" s="7"/>
      <c r="S139" s="5"/>
    </row>
    <row r="140" spans="1:19">
      <c r="A140" s="5" t="str">
        <f t="shared" si="4"/>
        <v/>
      </c>
      <c r="B140" s="6"/>
      <c r="C140" s="5"/>
      <c r="D140" s="5"/>
      <c r="E140" s="5"/>
      <c r="F140" s="5"/>
      <c r="G140" s="5"/>
      <c r="H140" s="5"/>
      <c r="I140" s="5" t="str">
        <f ca="1">IFERROR(_xludf.XLOOKUP(H140,BD_VACANTES!A:A,BD_VACANTES!C:C,""),"")</f>
        <v/>
      </c>
      <c r="J140" s="5" t="str">
        <f ca="1">IFERROR(_xludf.XLOOKUP(H140,BD_VACANTES!A:A,BD_VACANTES!E:E,""),"")</f>
        <v/>
      </c>
      <c r="K140" s="5"/>
      <c r="L140" s="5"/>
      <c r="M140" s="5"/>
      <c r="N140" s="5"/>
      <c r="O140" s="5"/>
      <c r="P140" s="6"/>
      <c r="Q140" s="8" t="str">
        <f t="shared" ca="1" si="5"/>
        <v/>
      </c>
      <c r="R140" s="7"/>
      <c r="S140" s="5"/>
    </row>
    <row r="141" spans="1:19">
      <c r="A141" s="5" t="str">
        <f t="shared" si="4"/>
        <v/>
      </c>
      <c r="B141" s="6"/>
      <c r="C141" s="5"/>
      <c r="D141" s="5"/>
      <c r="E141" s="5"/>
      <c r="F141" s="5"/>
      <c r="G141" s="5"/>
      <c r="H141" s="5"/>
      <c r="I141" s="5" t="str">
        <f ca="1">IFERROR(_xludf.XLOOKUP(H141,BD_VACANTES!A:A,BD_VACANTES!C:C,""),"")</f>
        <v/>
      </c>
      <c r="J141" s="5" t="str">
        <f ca="1">IFERROR(_xludf.XLOOKUP(H141,BD_VACANTES!A:A,BD_VACANTES!E:E,""),"")</f>
        <v/>
      </c>
      <c r="K141" s="5"/>
      <c r="L141" s="5"/>
      <c r="M141" s="5"/>
      <c r="N141" s="5"/>
      <c r="O141" s="5"/>
      <c r="P141" s="6"/>
      <c r="Q141" s="8" t="str">
        <f t="shared" ca="1" si="5"/>
        <v/>
      </c>
      <c r="R141" s="7"/>
      <c r="S141" s="5"/>
    </row>
    <row r="142" spans="1:19">
      <c r="A142" s="5" t="str">
        <f t="shared" si="4"/>
        <v/>
      </c>
      <c r="B142" s="6"/>
      <c r="C142" s="5"/>
      <c r="D142" s="5"/>
      <c r="E142" s="5"/>
      <c r="F142" s="5"/>
      <c r="G142" s="5"/>
      <c r="H142" s="5"/>
      <c r="I142" s="5" t="str">
        <f ca="1">IFERROR(_xludf.XLOOKUP(H142,BD_VACANTES!A:A,BD_VACANTES!C:C,""),"")</f>
        <v/>
      </c>
      <c r="J142" s="5" t="str">
        <f ca="1">IFERROR(_xludf.XLOOKUP(H142,BD_VACANTES!A:A,BD_VACANTES!E:E,""),"")</f>
        <v/>
      </c>
      <c r="K142" s="5"/>
      <c r="L142" s="5"/>
      <c r="M142" s="5"/>
      <c r="N142" s="5"/>
      <c r="O142" s="5"/>
      <c r="P142" s="6"/>
      <c r="Q142" s="8" t="str">
        <f t="shared" ca="1" si="5"/>
        <v/>
      </c>
      <c r="R142" s="7"/>
      <c r="S142" s="5"/>
    </row>
    <row r="143" spans="1:19">
      <c r="A143" s="5" t="str">
        <f t="shared" si="4"/>
        <v/>
      </c>
      <c r="B143" s="6"/>
      <c r="C143" s="5"/>
      <c r="D143" s="5"/>
      <c r="E143" s="5"/>
      <c r="F143" s="5"/>
      <c r="G143" s="5"/>
      <c r="H143" s="5"/>
      <c r="I143" s="5" t="str">
        <f ca="1">IFERROR(_xludf.XLOOKUP(H143,BD_VACANTES!A:A,BD_VACANTES!C:C,""),"")</f>
        <v/>
      </c>
      <c r="J143" s="5" t="str">
        <f ca="1">IFERROR(_xludf.XLOOKUP(H143,BD_VACANTES!A:A,BD_VACANTES!E:E,""),"")</f>
        <v/>
      </c>
      <c r="K143" s="5"/>
      <c r="L143" s="5"/>
      <c r="M143" s="5"/>
      <c r="N143" s="5"/>
      <c r="O143" s="5"/>
      <c r="P143" s="6"/>
      <c r="Q143" s="8" t="str">
        <f t="shared" ca="1" si="5"/>
        <v/>
      </c>
      <c r="R143" s="7"/>
      <c r="S143" s="5"/>
    </row>
    <row r="144" spans="1:19">
      <c r="A144" s="5" t="str">
        <f t="shared" si="4"/>
        <v/>
      </c>
      <c r="B144" s="6"/>
      <c r="C144" s="5"/>
      <c r="D144" s="5"/>
      <c r="E144" s="5"/>
      <c r="F144" s="5"/>
      <c r="G144" s="5"/>
      <c r="H144" s="5"/>
      <c r="I144" s="5" t="str">
        <f ca="1">IFERROR(_xludf.XLOOKUP(H144,BD_VACANTES!A:A,BD_VACANTES!C:C,""),"")</f>
        <v/>
      </c>
      <c r="J144" s="5" t="str">
        <f ca="1">IFERROR(_xludf.XLOOKUP(H144,BD_VACANTES!A:A,BD_VACANTES!E:E,""),"")</f>
        <v/>
      </c>
      <c r="K144" s="5"/>
      <c r="L144" s="5"/>
      <c r="M144" s="5"/>
      <c r="N144" s="5"/>
      <c r="O144" s="5"/>
      <c r="P144" s="6"/>
      <c r="Q144" s="8" t="str">
        <f t="shared" ca="1" si="5"/>
        <v/>
      </c>
      <c r="R144" s="7"/>
      <c r="S144" s="5"/>
    </row>
    <row r="145" spans="1:19">
      <c r="A145" s="5" t="str">
        <f t="shared" si="4"/>
        <v/>
      </c>
      <c r="B145" s="6"/>
      <c r="C145" s="5"/>
      <c r="D145" s="5"/>
      <c r="E145" s="5"/>
      <c r="F145" s="5"/>
      <c r="G145" s="5"/>
      <c r="H145" s="5"/>
      <c r="I145" s="5" t="str">
        <f ca="1">IFERROR(_xludf.XLOOKUP(H145,BD_VACANTES!A:A,BD_VACANTES!C:C,""),"")</f>
        <v/>
      </c>
      <c r="J145" s="5" t="str">
        <f ca="1">IFERROR(_xludf.XLOOKUP(H145,BD_VACANTES!A:A,BD_VACANTES!E:E,""),"")</f>
        <v/>
      </c>
      <c r="K145" s="5"/>
      <c r="L145" s="5"/>
      <c r="M145" s="5"/>
      <c r="N145" s="5"/>
      <c r="O145" s="5"/>
      <c r="P145" s="6"/>
      <c r="Q145" s="8" t="str">
        <f t="shared" ca="1" si="5"/>
        <v/>
      </c>
      <c r="R145" s="7"/>
      <c r="S145" s="5"/>
    </row>
    <row r="146" spans="1:19">
      <c r="A146" s="5" t="str">
        <f t="shared" si="4"/>
        <v/>
      </c>
      <c r="B146" s="6"/>
      <c r="C146" s="5"/>
      <c r="D146" s="5"/>
      <c r="E146" s="5"/>
      <c r="F146" s="5"/>
      <c r="G146" s="5"/>
      <c r="H146" s="5"/>
      <c r="I146" s="5" t="str">
        <f ca="1">IFERROR(_xludf.XLOOKUP(H146,BD_VACANTES!A:A,BD_VACANTES!C:C,""),"")</f>
        <v/>
      </c>
      <c r="J146" s="5" t="str">
        <f ca="1">IFERROR(_xludf.XLOOKUP(H146,BD_VACANTES!A:A,BD_VACANTES!E:E,""),"")</f>
        <v/>
      </c>
      <c r="K146" s="5"/>
      <c r="L146" s="5"/>
      <c r="M146" s="5"/>
      <c r="N146" s="5"/>
      <c r="O146" s="5"/>
      <c r="P146" s="6"/>
      <c r="Q146" s="8" t="str">
        <f t="shared" ca="1" si="5"/>
        <v/>
      </c>
      <c r="R146" s="7"/>
      <c r="S146" s="5"/>
    </row>
    <row r="147" spans="1:19">
      <c r="A147" s="5" t="str">
        <f t="shared" si="4"/>
        <v/>
      </c>
      <c r="B147" s="6"/>
      <c r="C147" s="5"/>
      <c r="D147" s="5"/>
      <c r="E147" s="5"/>
      <c r="F147" s="5"/>
      <c r="G147" s="5"/>
      <c r="H147" s="5"/>
      <c r="I147" s="5" t="str">
        <f ca="1">IFERROR(_xludf.XLOOKUP(H147,BD_VACANTES!A:A,BD_VACANTES!C:C,""),"")</f>
        <v/>
      </c>
      <c r="J147" s="5" t="str">
        <f ca="1">IFERROR(_xludf.XLOOKUP(H147,BD_VACANTES!A:A,BD_VACANTES!E:E,""),"")</f>
        <v/>
      </c>
      <c r="K147" s="5"/>
      <c r="L147" s="5"/>
      <c r="M147" s="5"/>
      <c r="N147" s="5"/>
      <c r="O147" s="5"/>
      <c r="P147" s="6"/>
      <c r="Q147" s="8" t="str">
        <f t="shared" ca="1" si="5"/>
        <v/>
      </c>
      <c r="R147" s="7"/>
      <c r="S147" s="5"/>
    </row>
    <row r="148" spans="1:19">
      <c r="A148" s="5" t="str">
        <f t="shared" si="4"/>
        <v/>
      </c>
      <c r="B148" s="6"/>
      <c r="C148" s="5"/>
      <c r="D148" s="5"/>
      <c r="E148" s="5"/>
      <c r="F148" s="5"/>
      <c r="G148" s="5"/>
      <c r="H148" s="5"/>
      <c r="I148" s="5" t="str">
        <f ca="1">IFERROR(_xludf.XLOOKUP(H148,BD_VACANTES!A:A,BD_VACANTES!C:C,""),"")</f>
        <v/>
      </c>
      <c r="J148" s="5" t="str">
        <f ca="1">IFERROR(_xludf.XLOOKUP(H148,BD_VACANTES!A:A,BD_VACANTES!E:E,""),"")</f>
        <v/>
      </c>
      <c r="K148" s="5"/>
      <c r="L148" s="5"/>
      <c r="M148" s="5"/>
      <c r="N148" s="5"/>
      <c r="O148" s="5"/>
      <c r="P148" s="6"/>
      <c r="Q148" s="8" t="str">
        <f t="shared" ca="1" si="5"/>
        <v/>
      </c>
      <c r="R148" s="7"/>
      <c r="S148" s="5"/>
    </row>
    <row r="149" spans="1:19">
      <c r="A149" s="5" t="str">
        <f t="shared" si="4"/>
        <v/>
      </c>
      <c r="B149" s="6"/>
      <c r="C149" s="5"/>
      <c r="D149" s="5"/>
      <c r="E149" s="5"/>
      <c r="F149" s="5"/>
      <c r="G149" s="5"/>
      <c r="H149" s="5"/>
      <c r="I149" s="5" t="str">
        <f ca="1">IFERROR(_xludf.XLOOKUP(H149,BD_VACANTES!A:A,BD_VACANTES!C:C,""),"")</f>
        <v/>
      </c>
      <c r="J149" s="5" t="str">
        <f ca="1">IFERROR(_xludf.XLOOKUP(H149,BD_VACANTES!A:A,BD_VACANTES!E:E,""),"")</f>
        <v/>
      </c>
      <c r="K149" s="5"/>
      <c r="L149" s="5"/>
      <c r="M149" s="5"/>
      <c r="N149" s="5"/>
      <c r="O149" s="5"/>
      <c r="P149" s="6"/>
      <c r="Q149" s="8" t="str">
        <f t="shared" ca="1" si="5"/>
        <v/>
      </c>
      <c r="R149" s="7"/>
      <c r="S149" s="5"/>
    </row>
    <row r="150" spans="1:19">
      <c r="A150" s="5" t="str">
        <f t="shared" si="4"/>
        <v/>
      </c>
      <c r="B150" s="6"/>
      <c r="C150" s="5"/>
      <c r="D150" s="5"/>
      <c r="E150" s="5"/>
      <c r="F150" s="5"/>
      <c r="G150" s="5"/>
      <c r="H150" s="5"/>
      <c r="I150" s="5" t="str">
        <f ca="1">IFERROR(_xludf.XLOOKUP(H150,BD_VACANTES!A:A,BD_VACANTES!C:C,""),"")</f>
        <v/>
      </c>
      <c r="J150" s="5" t="str">
        <f ca="1">IFERROR(_xludf.XLOOKUP(H150,BD_VACANTES!A:A,BD_VACANTES!E:E,""),"")</f>
        <v/>
      </c>
      <c r="K150" s="5"/>
      <c r="L150" s="5"/>
      <c r="M150" s="5"/>
      <c r="N150" s="5"/>
      <c r="O150" s="5"/>
      <c r="P150" s="6"/>
      <c r="Q150" s="8" t="str">
        <f t="shared" ca="1" si="5"/>
        <v/>
      </c>
      <c r="R150" s="7"/>
      <c r="S150" s="5"/>
    </row>
    <row r="151" spans="1:19">
      <c r="A151" s="5" t="str">
        <f t="shared" si="4"/>
        <v/>
      </c>
      <c r="B151" s="6"/>
      <c r="C151" s="5"/>
      <c r="D151" s="5"/>
      <c r="E151" s="5"/>
      <c r="F151" s="5"/>
      <c r="G151" s="5"/>
      <c r="H151" s="5"/>
      <c r="I151" s="5" t="str">
        <f ca="1">IFERROR(_xludf.XLOOKUP(H151,BD_VACANTES!A:A,BD_VACANTES!C:C,""),"")</f>
        <v/>
      </c>
      <c r="J151" s="5" t="str">
        <f ca="1">IFERROR(_xludf.XLOOKUP(H151,BD_VACANTES!A:A,BD_VACANTES!E:E,""),"")</f>
        <v/>
      </c>
      <c r="K151" s="5"/>
      <c r="L151" s="5"/>
      <c r="M151" s="5"/>
      <c r="N151" s="5"/>
      <c r="O151" s="5"/>
      <c r="P151" s="6"/>
      <c r="Q151" s="8" t="str">
        <f t="shared" ca="1" si="5"/>
        <v/>
      </c>
      <c r="R151" s="7"/>
      <c r="S151" s="5"/>
    </row>
    <row r="152" spans="1:19">
      <c r="A152" s="5" t="str">
        <f t="shared" si="4"/>
        <v/>
      </c>
      <c r="B152" s="6"/>
      <c r="C152" s="5"/>
      <c r="D152" s="5"/>
      <c r="E152" s="5"/>
      <c r="F152" s="5"/>
      <c r="G152" s="5"/>
      <c r="H152" s="5"/>
      <c r="I152" s="5" t="str">
        <f ca="1">IFERROR(_xludf.XLOOKUP(H152,BD_VACANTES!A:A,BD_VACANTES!C:C,""),"")</f>
        <v/>
      </c>
      <c r="J152" s="5" t="str">
        <f ca="1">IFERROR(_xludf.XLOOKUP(H152,BD_VACANTES!A:A,BD_VACANTES!E:E,""),"")</f>
        <v/>
      </c>
      <c r="K152" s="5"/>
      <c r="L152" s="5"/>
      <c r="M152" s="5"/>
      <c r="N152" s="5"/>
      <c r="O152" s="5"/>
      <c r="P152" s="6"/>
      <c r="Q152" s="8" t="str">
        <f t="shared" ca="1" si="5"/>
        <v/>
      </c>
      <c r="R152" s="7"/>
      <c r="S152" s="5"/>
    </row>
    <row r="153" spans="1:19">
      <c r="A153" s="5" t="str">
        <f t="shared" si="4"/>
        <v/>
      </c>
      <c r="B153" s="6"/>
      <c r="C153" s="5"/>
      <c r="D153" s="5"/>
      <c r="E153" s="5"/>
      <c r="F153" s="5"/>
      <c r="G153" s="5"/>
      <c r="H153" s="5"/>
      <c r="I153" s="5" t="str">
        <f ca="1">IFERROR(_xludf.XLOOKUP(H153,BD_VACANTES!A:A,BD_VACANTES!C:C,""),"")</f>
        <v/>
      </c>
      <c r="J153" s="5" t="str">
        <f ca="1">IFERROR(_xludf.XLOOKUP(H153,BD_VACANTES!A:A,BD_VACANTES!E:E,""),"")</f>
        <v/>
      </c>
      <c r="K153" s="5"/>
      <c r="L153" s="5"/>
      <c r="M153" s="5"/>
      <c r="N153" s="5"/>
      <c r="O153" s="5"/>
      <c r="P153" s="6"/>
      <c r="Q153" s="8" t="str">
        <f t="shared" ca="1" si="5"/>
        <v/>
      </c>
      <c r="R153" s="7"/>
      <c r="S153" s="5"/>
    </row>
    <row r="154" spans="1:19">
      <c r="A154" s="5" t="str">
        <f t="shared" si="4"/>
        <v/>
      </c>
      <c r="B154" s="6"/>
      <c r="C154" s="5"/>
      <c r="D154" s="5"/>
      <c r="E154" s="5"/>
      <c r="F154" s="5"/>
      <c r="G154" s="5"/>
      <c r="H154" s="5"/>
      <c r="I154" s="5" t="str">
        <f ca="1">IFERROR(_xludf.XLOOKUP(H154,BD_VACANTES!A:A,BD_VACANTES!C:C,""),"")</f>
        <v/>
      </c>
      <c r="J154" s="5" t="str">
        <f ca="1">IFERROR(_xludf.XLOOKUP(H154,BD_VACANTES!A:A,BD_VACANTES!E:E,""),"")</f>
        <v/>
      </c>
      <c r="K154" s="5"/>
      <c r="L154" s="5"/>
      <c r="M154" s="5"/>
      <c r="N154" s="5"/>
      <c r="O154" s="5"/>
      <c r="P154" s="6"/>
      <c r="Q154" s="8" t="str">
        <f t="shared" ca="1" si="5"/>
        <v/>
      </c>
      <c r="R154" s="7"/>
      <c r="S154" s="5"/>
    </row>
    <row r="155" spans="1:19">
      <c r="A155" s="5" t="str">
        <f t="shared" si="4"/>
        <v/>
      </c>
      <c r="B155" s="6"/>
      <c r="C155" s="5"/>
      <c r="D155" s="5"/>
      <c r="E155" s="5"/>
      <c r="F155" s="5"/>
      <c r="G155" s="5"/>
      <c r="H155" s="5"/>
      <c r="I155" s="5" t="str">
        <f ca="1">IFERROR(_xludf.XLOOKUP(H155,BD_VACANTES!A:A,BD_VACANTES!C:C,""),"")</f>
        <v/>
      </c>
      <c r="J155" s="5" t="str">
        <f ca="1">IFERROR(_xludf.XLOOKUP(H155,BD_VACANTES!A:A,BD_VACANTES!E:E,""),"")</f>
        <v/>
      </c>
      <c r="K155" s="5"/>
      <c r="L155" s="5"/>
      <c r="M155" s="5"/>
      <c r="N155" s="5"/>
      <c r="O155" s="5"/>
      <c r="P155" s="6"/>
      <c r="Q155" s="8" t="str">
        <f t="shared" ca="1" si="5"/>
        <v/>
      </c>
      <c r="R155" s="7"/>
      <c r="S155" s="5"/>
    </row>
    <row r="156" spans="1:19">
      <c r="A156" s="5" t="str">
        <f t="shared" si="4"/>
        <v/>
      </c>
      <c r="B156" s="6"/>
      <c r="C156" s="5"/>
      <c r="D156" s="5"/>
      <c r="E156" s="5"/>
      <c r="F156" s="5"/>
      <c r="G156" s="5"/>
      <c r="H156" s="5"/>
      <c r="I156" s="5" t="str">
        <f ca="1">IFERROR(_xludf.XLOOKUP(H156,BD_VACANTES!A:A,BD_VACANTES!C:C,""),"")</f>
        <v/>
      </c>
      <c r="J156" s="5" t="str">
        <f ca="1">IFERROR(_xludf.XLOOKUP(H156,BD_VACANTES!A:A,BD_VACANTES!E:E,""),"")</f>
        <v/>
      </c>
      <c r="K156" s="5"/>
      <c r="L156" s="5"/>
      <c r="M156" s="5"/>
      <c r="N156" s="5"/>
      <c r="O156" s="5"/>
      <c r="P156" s="6"/>
      <c r="Q156" s="8" t="str">
        <f t="shared" ca="1" si="5"/>
        <v/>
      </c>
      <c r="R156" s="7"/>
      <c r="S156" s="5"/>
    </row>
    <row r="157" spans="1:19">
      <c r="A157" s="5" t="str">
        <f t="shared" si="4"/>
        <v/>
      </c>
      <c r="B157" s="6"/>
      <c r="C157" s="5"/>
      <c r="D157" s="5"/>
      <c r="E157" s="5"/>
      <c r="F157" s="5"/>
      <c r="G157" s="5"/>
      <c r="H157" s="5"/>
      <c r="I157" s="5" t="str">
        <f ca="1">IFERROR(_xludf.XLOOKUP(H157,BD_VACANTES!A:A,BD_VACANTES!C:C,""),"")</f>
        <v/>
      </c>
      <c r="J157" s="5" t="str">
        <f ca="1">IFERROR(_xludf.XLOOKUP(H157,BD_VACANTES!A:A,BD_VACANTES!E:E,""),"")</f>
        <v/>
      </c>
      <c r="K157" s="5"/>
      <c r="L157" s="5"/>
      <c r="M157" s="5"/>
      <c r="N157" s="5"/>
      <c r="O157" s="5"/>
      <c r="P157" s="6"/>
      <c r="Q157" s="8" t="str">
        <f t="shared" ca="1" si="5"/>
        <v/>
      </c>
      <c r="R157" s="7"/>
      <c r="S157" s="5"/>
    </row>
    <row r="158" spans="1:19">
      <c r="A158" s="5" t="str">
        <f t="shared" si="4"/>
        <v/>
      </c>
      <c r="B158" s="6"/>
      <c r="C158" s="5"/>
      <c r="D158" s="5"/>
      <c r="E158" s="5"/>
      <c r="F158" s="5"/>
      <c r="G158" s="5"/>
      <c r="H158" s="5"/>
      <c r="I158" s="5" t="str">
        <f ca="1">IFERROR(_xludf.XLOOKUP(H158,BD_VACANTES!A:A,BD_VACANTES!C:C,""),"")</f>
        <v/>
      </c>
      <c r="J158" s="5" t="str">
        <f ca="1">IFERROR(_xludf.XLOOKUP(H158,BD_VACANTES!A:A,BD_VACANTES!E:E,""),"")</f>
        <v/>
      </c>
      <c r="K158" s="5"/>
      <c r="L158" s="5"/>
      <c r="M158" s="5"/>
      <c r="N158" s="5"/>
      <c r="O158" s="5"/>
      <c r="P158" s="6"/>
      <c r="Q158" s="8" t="str">
        <f t="shared" ca="1" si="5"/>
        <v/>
      </c>
      <c r="R158" s="7"/>
      <c r="S158" s="5"/>
    </row>
    <row r="159" spans="1:19">
      <c r="A159" s="5" t="str">
        <f t="shared" si="4"/>
        <v/>
      </c>
      <c r="B159" s="6"/>
      <c r="C159" s="5"/>
      <c r="D159" s="5"/>
      <c r="E159" s="5"/>
      <c r="F159" s="5"/>
      <c r="G159" s="5"/>
      <c r="H159" s="5"/>
      <c r="I159" s="5" t="str">
        <f ca="1">IFERROR(_xludf.XLOOKUP(H159,BD_VACANTES!A:A,BD_VACANTES!C:C,""),"")</f>
        <v/>
      </c>
      <c r="J159" s="5" t="str">
        <f ca="1">IFERROR(_xludf.XLOOKUP(H159,BD_VACANTES!A:A,BD_VACANTES!E:E,""),"")</f>
        <v/>
      </c>
      <c r="K159" s="5"/>
      <c r="L159" s="5"/>
      <c r="M159" s="5"/>
      <c r="N159" s="5"/>
      <c r="O159" s="5"/>
      <c r="P159" s="6"/>
      <c r="Q159" s="8" t="str">
        <f t="shared" ca="1" si="5"/>
        <v/>
      </c>
      <c r="R159" s="7"/>
      <c r="S159" s="5"/>
    </row>
    <row r="160" spans="1:19">
      <c r="A160" s="5" t="str">
        <f t="shared" si="4"/>
        <v/>
      </c>
      <c r="B160" s="6"/>
      <c r="C160" s="5"/>
      <c r="D160" s="5"/>
      <c r="E160" s="5"/>
      <c r="F160" s="5"/>
      <c r="G160" s="5"/>
      <c r="H160" s="5"/>
      <c r="I160" s="5" t="str">
        <f ca="1">IFERROR(_xludf.XLOOKUP(H160,BD_VACANTES!A:A,BD_VACANTES!C:C,""),"")</f>
        <v/>
      </c>
      <c r="J160" s="5" t="str">
        <f ca="1">IFERROR(_xludf.XLOOKUP(H160,BD_VACANTES!A:A,BD_VACANTES!E:E,""),"")</f>
        <v/>
      </c>
      <c r="K160" s="5"/>
      <c r="L160" s="5"/>
      <c r="M160" s="5"/>
      <c r="N160" s="5"/>
      <c r="O160" s="5"/>
      <c r="P160" s="6"/>
      <c r="Q160" s="8" t="str">
        <f t="shared" ca="1" si="5"/>
        <v/>
      </c>
      <c r="R160" s="7"/>
      <c r="S160" s="5"/>
    </row>
    <row r="161" spans="1:19">
      <c r="A161" s="5" t="str">
        <f t="shared" si="4"/>
        <v/>
      </c>
      <c r="B161" s="6"/>
      <c r="C161" s="5"/>
      <c r="D161" s="5"/>
      <c r="E161" s="5"/>
      <c r="F161" s="5"/>
      <c r="G161" s="5"/>
      <c r="H161" s="5"/>
      <c r="I161" s="5" t="str">
        <f ca="1">IFERROR(_xludf.XLOOKUP(H161,BD_VACANTES!A:A,BD_VACANTES!C:C,""),"")</f>
        <v/>
      </c>
      <c r="J161" s="5" t="str">
        <f ca="1">IFERROR(_xludf.XLOOKUP(H161,BD_VACANTES!A:A,BD_VACANTES!E:E,""),"")</f>
        <v/>
      </c>
      <c r="K161" s="5"/>
      <c r="L161" s="5"/>
      <c r="M161" s="5"/>
      <c r="N161" s="5"/>
      <c r="O161" s="5"/>
      <c r="P161" s="6"/>
      <c r="Q161" s="8" t="str">
        <f t="shared" ca="1" si="5"/>
        <v/>
      </c>
      <c r="R161" s="7"/>
      <c r="S161" s="5"/>
    </row>
    <row r="162" spans="1:19">
      <c r="A162" s="5" t="str">
        <f t="shared" si="4"/>
        <v/>
      </c>
      <c r="B162" s="6"/>
      <c r="C162" s="5"/>
      <c r="D162" s="5"/>
      <c r="E162" s="5"/>
      <c r="F162" s="5"/>
      <c r="G162" s="5"/>
      <c r="H162" s="5"/>
      <c r="I162" s="5" t="str">
        <f ca="1">IFERROR(_xludf.XLOOKUP(H162,BD_VACANTES!A:A,BD_VACANTES!C:C,""),"")</f>
        <v/>
      </c>
      <c r="J162" s="5" t="str">
        <f ca="1">IFERROR(_xludf.XLOOKUP(H162,BD_VACANTES!A:A,BD_VACANTES!E:E,""),"")</f>
        <v/>
      </c>
      <c r="K162" s="5"/>
      <c r="L162" s="5"/>
      <c r="M162" s="5"/>
      <c r="N162" s="5"/>
      <c r="O162" s="5"/>
      <c r="P162" s="6"/>
      <c r="Q162" s="8" t="str">
        <f t="shared" ca="1" si="5"/>
        <v/>
      </c>
      <c r="R162" s="7"/>
      <c r="S162" s="5"/>
    </row>
    <row r="163" spans="1:19">
      <c r="A163" s="5" t="str">
        <f t="shared" si="4"/>
        <v/>
      </c>
      <c r="B163" s="6"/>
      <c r="C163" s="5"/>
      <c r="D163" s="5"/>
      <c r="E163" s="5"/>
      <c r="F163" s="5"/>
      <c r="G163" s="5"/>
      <c r="H163" s="5"/>
      <c r="I163" s="5" t="str">
        <f ca="1">IFERROR(_xludf.XLOOKUP(H163,BD_VACANTES!A:A,BD_VACANTES!C:C,""),"")</f>
        <v/>
      </c>
      <c r="J163" s="5" t="str">
        <f ca="1">IFERROR(_xludf.XLOOKUP(H163,BD_VACANTES!A:A,BD_VACANTES!E:E,""),"")</f>
        <v/>
      </c>
      <c r="K163" s="5"/>
      <c r="L163" s="5"/>
      <c r="M163" s="5"/>
      <c r="N163" s="5"/>
      <c r="O163" s="5"/>
      <c r="P163" s="6"/>
      <c r="Q163" s="8" t="str">
        <f t="shared" ca="1" si="5"/>
        <v/>
      </c>
      <c r="R163" s="7"/>
      <c r="S163" s="5"/>
    </row>
    <row r="164" spans="1:19">
      <c r="A164" s="5" t="str">
        <f t="shared" si="4"/>
        <v/>
      </c>
      <c r="B164" s="6"/>
      <c r="C164" s="5"/>
      <c r="D164" s="5"/>
      <c r="E164" s="5"/>
      <c r="F164" s="5"/>
      <c r="G164" s="5"/>
      <c r="H164" s="5"/>
      <c r="I164" s="5" t="str">
        <f ca="1">IFERROR(_xludf.XLOOKUP(H164,BD_VACANTES!A:A,BD_VACANTES!C:C,""),"")</f>
        <v/>
      </c>
      <c r="J164" s="5" t="str">
        <f ca="1">IFERROR(_xludf.XLOOKUP(H164,BD_VACANTES!A:A,BD_VACANTES!E:E,""),"")</f>
        <v/>
      </c>
      <c r="K164" s="5"/>
      <c r="L164" s="5"/>
      <c r="M164" s="5"/>
      <c r="N164" s="5"/>
      <c r="O164" s="5"/>
      <c r="P164" s="6"/>
      <c r="Q164" s="8" t="str">
        <f t="shared" ca="1" si="5"/>
        <v/>
      </c>
      <c r="R164" s="7"/>
      <c r="S164" s="5"/>
    </row>
    <row r="165" spans="1:19">
      <c r="A165" s="5" t="str">
        <f t="shared" si="4"/>
        <v/>
      </c>
      <c r="B165" s="6"/>
      <c r="C165" s="5"/>
      <c r="D165" s="5"/>
      <c r="E165" s="5"/>
      <c r="F165" s="5"/>
      <c r="G165" s="5"/>
      <c r="H165" s="5"/>
      <c r="I165" s="5" t="str">
        <f ca="1">IFERROR(_xludf.XLOOKUP(H165,BD_VACANTES!A:A,BD_VACANTES!C:C,""),"")</f>
        <v/>
      </c>
      <c r="J165" s="5" t="str">
        <f ca="1">IFERROR(_xludf.XLOOKUP(H165,BD_VACANTES!A:A,BD_VACANTES!E:E,""),"")</f>
        <v/>
      </c>
      <c r="K165" s="5"/>
      <c r="L165" s="5"/>
      <c r="M165" s="5"/>
      <c r="N165" s="5"/>
      <c r="O165" s="5"/>
      <c r="P165" s="6"/>
      <c r="Q165" s="8" t="str">
        <f t="shared" ca="1" si="5"/>
        <v/>
      </c>
      <c r="R165" s="7"/>
      <c r="S165" s="5"/>
    </row>
    <row r="166" spans="1:19">
      <c r="A166" s="5" t="str">
        <f t="shared" si="4"/>
        <v/>
      </c>
      <c r="B166" s="6"/>
      <c r="C166" s="5"/>
      <c r="D166" s="5"/>
      <c r="E166" s="5"/>
      <c r="F166" s="5"/>
      <c r="G166" s="5"/>
      <c r="H166" s="5"/>
      <c r="I166" s="5" t="str">
        <f ca="1">IFERROR(_xludf.XLOOKUP(H166,BD_VACANTES!A:A,BD_VACANTES!C:C,""),"")</f>
        <v/>
      </c>
      <c r="J166" s="5" t="str">
        <f ca="1">IFERROR(_xludf.XLOOKUP(H166,BD_VACANTES!A:A,BD_VACANTES!E:E,""),"")</f>
        <v/>
      </c>
      <c r="K166" s="5"/>
      <c r="L166" s="5"/>
      <c r="M166" s="5"/>
      <c r="N166" s="5"/>
      <c r="O166" s="5"/>
      <c r="P166" s="6"/>
      <c r="Q166" s="8" t="str">
        <f t="shared" ca="1" si="5"/>
        <v/>
      </c>
      <c r="R166" s="7"/>
      <c r="S166" s="5"/>
    </row>
    <row r="167" spans="1:19">
      <c r="A167" s="5" t="str">
        <f t="shared" si="4"/>
        <v/>
      </c>
      <c r="B167" s="6"/>
      <c r="C167" s="5"/>
      <c r="D167" s="5"/>
      <c r="E167" s="5"/>
      <c r="F167" s="5"/>
      <c r="G167" s="5"/>
      <c r="H167" s="5"/>
      <c r="I167" s="5" t="str">
        <f ca="1">IFERROR(_xludf.XLOOKUP(H167,BD_VACANTES!A:A,BD_VACANTES!C:C,""),"")</f>
        <v/>
      </c>
      <c r="J167" s="5" t="str">
        <f ca="1">IFERROR(_xludf.XLOOKUP(H167,BD_VACANTES!A:A,BD_VACANTES!E:E,""),"")</f>
        <v/>
      </c>
      <c r="K167" s="5"/>
      <c r="L167" s="5"/>
      <c r="M167" s="5"/>
      <c r="N167" s="5"/>
      <c r="O167" s="5"/>
      <c r="P167" s="6"/>
      <c r="Q167" s="8" t="str">
        <f t="shared" ca="1" si="5"/>
        <v/>
      </c>
      <c r="R167" s="7"/>
      <c r="S167" s="5"/>
    </row>
    <row r="168" spans="1:19">
      <c r="A168" s="5" t="str">
        <f t="shared" si="4"/>
        <v/>
      </c>
      <c r="B168" s="6"/>
      <c r="C168" s="5"/>
      <c r="D168" s="5"/>
      <c r="E168" s="5"/>
      <c r="F168" s="5"/>
      <c r="G168" s="5"/>
      <c r="H168" s="5"/>
      <c r="I168" s="5" t="str">
        <f ca="1">IFERROR(_xludf.XLOOKUP(H168,BD_VACANTES!A:A,BD_VACANTES!C:C,""),"")</f>
        <v/>
      </c>
      <c r="J168" s="5" t="str">
        <f ca="1">IFERROR(_xludf.XLOOKUP(H168,BD_VACANTES!A:A,BD_VACANTES!E:E,""),"")</f>
        <v/>
      </c>
      <c r="K168" s="5"/>
      <c r="L168" s="5"/>
      <c r="M168" s="5"/>
      <c r="N168" s="5"/>
      <c r="O168" s="5"/>
      <c r="P168" s="6"/>
      <c r="Q168" s="8" t="str">
        <f t="shared" ca="1" si="5"/>
        <v/>
      </c>
      <c r="R168" s="7"/>
      <c r="S168" s="5"/>
    </row>
    <row r="169" spans="1:19">
      <c r="A169" s="5" t="str">
        <f t="shared" si="4"/>
        <v/>
      </c>
      <c r="B169" s="6"/>
      <c r="C169" s="5"/>
      <c r="D169" s="5"/>
      <c r="E169" s="5"/>
      <c r="F169" s="5"/>
      <c r="G169" s="5"/>
      <c r="H169" s="5"/>
      <c r="I169" s="5" t="str">
        <f ca="1">IFERROR(_xludf.XLOOKUP(H169,BD_VACANTES!A:A,BD_VACANTES!C:C,""),"")</f>
        <v/>
      </c>
      <c r="J169" s="5" t="str">
        <f ca="1">IFERROR(_xludf.XLOOKUP(H169,BD_VACANTES!A:A,BD_VACANTES!E:E,""),"")</f>
        <v/>
      </c>
      <c r="K169" s="5"/>
      <c r="L169" s="5"/>
      <c r="M169" s="5"/>
      <c r="N169" s="5"/>
      <c r="O169" s="5"/>
      <c r="P169" s="6"/>
      <c r="Q169" s="8" t="str">
        <f t="shared" ca="1" si="5"/>
        <v/>
      </c>
      <c r="R169" s="7"/>
      <c r="S169" s="5"/>
    </row>
    <row r="170" spans="1:19">
      <c r="A170" s="5" t="str">
        <f t="shared" si="4"/>
        <v/>
      </c>
      <c r="B170" s="6"/>
      <c r="C170" s="5"/>
      <c r="D170" s="5"/>
      <c r="E170" s="5"/>
      <c r="F170" s="5"/>
      <c r="G170" s="5"/>
      <c r="H170" s="5"/>
      <c r="I170" s="5" t="str">
        <f ca="1">IFERROR(_xludf.XLOOKUP(H170,BD_VACANTES!A:A,BD_VACANTES!C:C,""),"")</f>
        <v/>
      </c>
      <c r="J170" s="5" t="str">
        <f ca="1">IFERROR(_xludf.XLOOKUP(H170,BD_VACANTES!A:A,BD_VACANTES!E:E,""),"")</f>
        <v/>
      </c>
      <c r="K170" s="5"/>
      <c r="L170" s="5"/>
      <c r="M170" s="5"/>
      <c r="N170" s="5"/>
      <c r="O170" s="5"/>
      <c r="P170" s="6"/>
      <c r="Q170" s="8" t="str">
        <f t="shared" ca="1" si="5"/>
        <v/>
      </c>
      <c r="R170" s="7"/>
      <c r="S170" s="5"/>
    </row>
    <row r="171" spans="1:19">
      <c r="A171" s="5" t="str">
        <f t="shared" si="4"/>
        <v/>
      </c>
      <c r="B171" s="6"/>
      <c r="C171" s="5"/>
      <c r="D171" s="5"/>
      <c r="E171" s="5"/>
      <c r="F171" s="5"/>
      <c r="G171" s="5"/>
      <c r="H171" s="5"/>
      <c r="I171" s="5" t="str">
        <f ca="1">IFERROR(_xludf.XLOOKUP(H171,BD_VACANTES!A:A,BD_VACANTES!C:C,""),"")</f>
        <v/>
      </c>
      <c r="J171" s="5" t="str">
        <f ca="1">IFERROR(_xludf.XLOOKUP(H171,BD_VACANTES!A:A,BD_VACANTES!E:E,""),"")</f>
        <v/>
      </c>
      <c r="K171" s="5"/>
      <c r="L171" s="5"/>
      <c r="M171" s="5"/>
      <c r="N171" s="5"/>
      <c r="O171" s="5"/>
      <c r="P171" s="6"/>
      <c r="Q171" s="8" t="str">
        <f t="shared" ca="1" si="5"/>
        <v/>
      </c>
      <c r="R171" s="7"/>
      <c r="S171" s="5"/>
    </row>
    <row r="172" spans="1:19">
      <c r="A172" s="5" t="str">
        <f t="shared" si="4"/>
        <v/>
      </c>
      <c r="B172" s="6"/>
      <c r="C172" s="5"/>
      <c r="D172" s="5"/>
      <c r="E172" s="5"/>
      <c r="F172" s="5"/>
      <c r="G172" s="5"/>
      <c r="H172" s="5"/>
      <c r="I172" s="5" t="str">
        <f ca="1">IFERROR(_xludf.XLOOKUP(H172,BD_VACANTES!A:A,BD_VACANTES!C:C,""),"")</f>
        <v/>
      </c>
      <c r="J172" s="5" t="str">
        <f ca="1">IFERROR(_xludf.XLOOKUP(H172,BD_VACANTES!A:A,BD_VACANTES!E:E,""),"")</f>
        <v/>
      </c>
      <c r="K172" s="5"/>
      <c r="L172" s="5"/>
      <c r="M172" s="5"/>
      <c r="N172" s="5"/>
      <c r="O172" s="5"/>
      <c r="P172" s="6"/>
      <c r="Q172" s="8" t="str">
        <f t="shared" ca="1" si="5"/>
        <v/>
      </c>
      <c r="R172" s="7"/>
      <c r="S172" s="5"/>
    </row>
    <row r="173" spans="1:19">
      <c r="A173" s="5" t="str">
        <f t="shared" si="4"/>
        <v/>
      </c>
      <c r="B173" s="6"/>
      <c r="C173" s="5"/>
      <c r="D173" s="5"/>
      <c r="E173" s="5"/>
      <c r="F173" s="5"/>
      <c r="G173" s="5"/>
      <c r="H173" s="5"/>
      <c r="I173" s="5" t="str">
        <f ca="1">IFERROR(_xludf.XLOOKUP(H173,BD_VACANTES!A:A,BD_VACANTES!C:C,""),"")</f>
        <v/>
      </c>
      <c r="J173" s="5" t="str">
        <f ca="1">IFERROR(_xludf.XLOOKUP(H173,BD_VACANTES!A:A,BD_VACANTES!E:E,""),"")</f>
        <v/>
      </c>
      <c r="K173" s="5"/>
      <c r="L173" s="5"/>
      <c r="M173" s="5"/>
      <c r="N173" s="5"/>
      <c r="O173" s="5"/>
      <c r="P173" s="6"/>
      <c r="Q173" s="8" t="str">
        <f t="shared" ca="1" si="5"/>
        <v/>
      </c>
      <c r="R173" s="7"/>
      <c r="S173" s="5"/>
    </row>
    <row r="174" spans="1:19">
      <c r="A174" s="5" t="str">
        <f t="shared" si="4"/>
        <v/>
      </c>
      <c r="B174" s="6"/>
      <c r="C174" s="5"/>
      <c r="D174" s="5"/>
      <c r="E174" s="5"/>
      <c r="F174" s="5"/>
      <c r="G174" s="5"/>
      <c r="H174" s="5"/>
      <c r="I174" s="5" t="str">
        <f ca="1">IFERROR(_xludf.XLOOKUP(H174,BD_VACANTES!A:A,BD_VACANTES!C:C,""),"")</f>
        <v/>
      </c>
      <c r="J174" s="5" t="str">
        <f ca="1">IFERROR(_xludf.XLOOKUP(H174,BD_VACANTES!A:A,BD_VACANTES!E:E,""),"")</f>
        <v/>
      </c>
      <c r="K174" s="5"/>
      <c r="L174" s="5"/>
      <c r="M174" s="5"/>
      <c r="N174" s="5"/>
      <c r="O174" s="5"/>
      <c r="P174" s="6"/>
      <c r="Q174" s="8" t="str">
        <f t="shared" ca="1" si="5"/>
        <v/>
      </c>
      <c r="R174" s="7"/>
      <c r="S174" s="5"/>
    </row>
    <row r="175" spans="1:19">
      <c r="A175" s="5" t="str">
        <f t="shared" si="4"/>
        <v/>
      </c>
      <c r="B175" s="6"/>
      <c r="C175" s="5"/>
      <c r="D175" s="5"/>
      <c r="E175" s="5"/>
      <c r="F175" s="5"/>
      <c r="G175" s="5"/>
      <c r="H175" s="5"/>
      <c r="I175" s="5" t="str">
        <f ca="1">IFERROR(_xludf.XLOOKUP(H175,BD_VACANTES!A:A,BD_VACANTES!C:C,""),"")</f>
        <v/>
      </c>
      <c r="J175" s="5" t="str">
        <f ca="1">IFERROR(_xludf.XLOOKUP(H175,BD_VACANTES!A:A,BD_VACANTES!E:E,""),"")</f>
        <v/>
      </c>
      <c r="K175" s="5"/>
      <c r="L175" s="5"/>
      <c r="M175" s="5"/>
      <c r="N175" s="5"/>
      <c r="O175" s="5"/>
      <c r="P175" s="6"/>
      <c r="Q175" s="8" t="str">
        <f t="shared" ca="1" si="5"/>
        <v/>
      </c>
      <c r="R175" s="7"/>
      <c r="S175" s="5"/>
    </row>
    <row r="176" spans="1:19">
      <c r="A176" s="5" t="str">
        <f t="shared" si="4"/>
        <v/>
      </c>
      <c r="B176" s="6"/>
      <c r="C176" s="5"/>
      <c r="D176" s="5"/>
      <c r="E176" s="5"/>
      <c r="F176" s="5"/>
      <c r="G176" s="5"/>
      <c r="H176" s="5"/>
      <c r="I176" s="5" t="str">
        <f ca="1">IFERROR(_xludf.XLOOKUP(H176,BD_VACANTES!A:A,BD_VACANTES!C:C,""),"")</f>
        <v/>
      </c>
      <c r="J176" s="5" t="str">
        <f ca="1">IFERROR(_xludf.XLOOKUP(H176,BD_VACANTES!A:A,BD_VACANTES!E:E,""),"")</f>
        <v/>
      </c>
      <c r="K176" s="5"/>
      <c r="L176" s="5"/>
      <c r="M176" s="5"/>
      <c r="N176" s="5"/>
      <c r="O176" s="5"/>
      <c r="P176" s="6"/>
      <c r="Q176" s="8" t="str">
        <f t="shared" ca="1" si="5"/>
        <v/>
      </c>
      <c r="R176" s="7"/>
      <c r="S176" s="5"/>
    </row>
    <row r="177" spans="1:19">
      <c r="A177" s="5" t="str">
        <f t="shared" si="4"/>
        <v/>
      </c>
      <c r="B177" s="6"/>
      <c r="C177" s="5"/>
      <c r="D177" s="5"/>
      <c r="E177" s="5"/>
      <c r="F177" s="5"/>
      <c r="G177" s="5"/>
      <c r="H177" s="5"/>
      <c r="I177" s="5" t="str">
        <f ca="1">IFERROR(_xludf.XLOOKUP(H177,BD_VACANTES!A:A,BD_VACANTES!C:C,""),"")</f>
        <v/>
      </c>
      <c r="J177" s="5" t="str">
        <f ca="1">IFERROR(_xludf.XLOOKUP(H177,BD_VACANTES!A:A,BD_VACANTES!E:E,""),"")</f>
        <v/>
      </c>
      <c r="K177" s="5"/>
      <c r="L177" s="5"/>
      <c r="M177" s="5"/>
      <c r="N177" s="5"/>
      <c r="O177" s="5"/>
      <c r="P177" s="6"/>
      <c r="Q177" s="8" t="str">
        <f t="shared" ca="1" si="5"/>
        <v/>
      </c>
      <c r="R177" s="7"/>
      <c r="S177" s="5"/>
    </row>
    <row r="178" spans="1:19">
      <c r="A178" s="5" t="str">
        <f t="shared" si="4"/>
        <v/>
      </c>
      <c r="B178" s="6"/>
      <c r="C178" s="5"/>
      <c r="D178" s="5"/>
      <c r="E178" s="5"/>
      <c r="F178" s="5"/>
      <c r="G178" s="5"/>
      <c r="H178" s="5"/>
      <c r="I178" s="5" t="str">
        <f ca="1">IFERROR(_xludf.XLOOKUP(H178,BD_VACANTES!A:A,BD_VACANTES!C:C,""),"")</f>
        <v/>
      </c>
      <c r="J178" s="5" t="str">
        <f ca="1">IFERROR(_xludf.XLOOKUP(H178,BD_VACANTES!A:A,BD_VACANTES!E:E,""),"")</f>
        <v/>
      </c>
      <c r="K178" s="5"/>
      <c r="L178" s="5"/>
      <c r="M178" s="5"/>
      <c r="N178" s="5"/>
      <c r="O178" s="5"/>
      <c r="P178" s="6"/>
      <c r="Q178" s="8" t="str">
        <f t="shared" ca="1" si="5"/>
        <v/>
      </c>
      <c r="R178" s="7"/>
      <c r="S178" s="5"/>
    </row>
    <row r="179" spans="1:19">
      <c r="A179" s="5" t="str">
        <f t="shared" si="4"/>
        <v/>
      </c>
      <c r="B179" s="6"/>
      <c r="C179" s="5"/>
      <c r="D179" s="5"/>
      <c r="E179" s="5"/>
      <c r="F179" s="5"/>
      <c r="G179" s="5"/>
      <c r="H179" s="5"/>
      <c r="I179" s="5" t="str">
        <f ca="1">IFERROR(_xludf.XLOOKUP(H179,BD_VACANTES!A:A,BD_VACANTES!C:C,""),"")</f>
        <v/>
      </c>
      <c r="J179" s="5" t="str">
        <f ca="1">IFERROR(_xludf.XLOOKUP(H179,BD_VACANTES!A:A,BD_VACANTES!E:E,""),"")</f>
        <v/>
      </c>
      <c r="K179" s="5"/>
      <c r="L179" s="5"/>
      <c r="M179" s="5"/>
      <c r="N179" s="5"/>
      <c r="O179" s="5"/>
      <c r="P179" s="6"/>
      <c r="Q179" s="8" t="str">
        <f t="shared" ca="1" si="5"/>
        <v/>
      </c>
      <c r="R179" s="7"/>
      <c r="S179" s="5"/>
    </row>
    <row r="180" spans="1:19">
      <c r="A180" s="5" t="str">
        <f t="shared" si="4"/>
        <v/>
      </c>
      <c r="B180" s="6"/>
      <c r="C180" s="5"/>
      <c r="D180" s="5"/>
      <c r="E180" s="5"/>
      <c r="F180" s="5"/>
      <c r="G180" s="5"/>
      <c r="H180" s="5"/>
      <c r="I180" s="5" t="str">
        <f ca="1">IFERROR(_xludf.XLOOKUP(H180,BD_VACANTES!A:A,BD_VACANTES!C:C,""),"")</f>
        <v/>
      </c>
      <c r="J180" s="5" t="str">
        <f ca="1">IFERROR(_xludf.XLOOKUP(H180,BD_VACANTES!A:A,BD_VACANTES!E:E,""),"")</f>
        <v/>
      </c>
      <c r="K180" s="5"/>
      <c r="L180" s="5"/>
      <c r="M180" s="5"/>
      <c r="N180" s="5"/>
      <c r="O180" s="5"/>
      <c r="P180" s="6"/>
      <c r="Q180" s="8" t="str">
        <f t="shared" ca="1" si="5"/>
        <v/>
      </c>
      <c r="R180" s="7"/>
      <c r="S180" s="5"/>
    </row>
    <row r="181" spans="1:19">
      <c r="A181" s="5" t="str">
        <f t="shared" si="4"/>
        <v/>
      </c>
      <c r="B181" s="6"/>
      <c r="C181" s="5"/>
      <c r="D181" s="5"/>
      <c r="E181" s="5"/>
      <c r="F181" s="5"/>
      <c r="G181" s="5"/>
      <c r="H181" s="5"/>
      <c r="I181" s="5" t="str">
        <f ca="1">IFERROR(_xludf.XLOOKUP(H181,BD_VACANTES!A:A,BD_VACANTES!C:C,""),"")</f>
        <v/>
      </c>
      <c r="J181" s="5" t="str">
        <f ca="1">IFERROR(_xludf.XLOOKUP(H181,BD_VACANTES!A:A,BD_VACANTES!E:E,""),"")</f>
        <v/>
      </c>
      <c r="K181" s="5"/>
      <c r="L181" s="5"/>
      <c r="M181" s="5"/>
      <c r="N181" s="5"/>
      <c r="O181" s="5"/>
      <c r="P181" s="6"/>
      <c r="Q181" s="8" t="str">
        <f t="shared" ca="1" si="5"/>
        <v/>
      </c>
      <c r="R181" s="7"/>
      <c r="S181" s="5"/>
    </row>
    <row r="182" spans="1:19">
      <c r="A182" s="5" t="str">
        <f t="shared" si="4"/>
        <v/>
      </c>
      <c r="B182" s="6"/>
      <c r="C182" s="5"/>
      <c r="D182" s="5"/>
      <c r="E182" s="5"/>
      <c r="F182" s="5"/>
      <c r="G182" s="5"/>
      <c r="H182" s="5"/>
      <c r="I182" s="5" t="str">
        <f ca="1">IFERROR(_xludf.XLOOKUP(H182,BD_VACANTES!A:A,BD_VACANTES!C:C,""),"")</f>
        <v/>
      </c>
      <c r="J182" s="5" t="str">
        <f ca="1">IFERROR(_xludf.XLOOKUP(H182,BD_VACANTES!A:A,BD_VACANTES!E:E,""),"")</f>
        <v/>
      </c>
      <c r="K182" s="5"/>
      <c r="L182" s="5"/>
      <c r="M182" s="5"/>
      <c r="N182" s="5"/>
      <c r="O182" s="5"/>
      <c r="P182" s="6"/>
      <c r="Q182" s="8" t="str">
        <f t="shared" ca="1" si="5"/>
        <v/>
      </c>
      <c r="R182" s="7"/>
      <c r="S182" s="5"/>
    </row>
    <row r="183" spans="1:19">
      <c r="A183" s="5" t="str">
        <f t="shared" si="4"/>
        <v/>
      </c>
      <c r="B183" s="6"/>
      <c r="C183" s="5"/>
      <c r="D183" s="5"/>
      <c r="E183" s="5"/>
      <c r="F183" s="5"/>
      <c r="G183" s="5"/>
      <c r="H183" s="5"/>
      <c r="I183" s="5" t="str">
        <f ca="1">IFERROR(_xludf.XLOOKUP(H183,BD_VACANTES!A:A,BD_VACANTES!C:C,""),"")</f>
        <v/>
      </c>
      <c r="J183" s="5" t="str">
        <f ca="1">IFERROR(_xludf.XLOOKUP(H183,BD_VACANTES!A:A,BD_VACANTES!E:E,""),"")</f>
        <v/>
      </c>
      <c r="K183" s="5"/>
      <c r="L183" s="5"/>
      <c r="M183" s="5"/>
      <c r="N183" s="5"/>
      <c r="O183" s="5"/>
      <c r="P183" s="6"/>
      <c r="Q183" s="8" t="str">
        <f t="shared" ca="1" si="5"/>
        <v/>
      </c>
      <c r="R183" s="7"/>
      <c r="S183" s="5"/>
    </row>
    <row r="184" spans="1:19">
      <c r="A184" s="5" t="str">
        <f t="shared" si="4"/>
        <v/>
      </c>
      <c r="B184" s="6"/>
      <c r="C184" s="5"/>
      <c r="D184" s="5"/>
      <c r="E184" s="5"/>
      <c r="F184" s="5"/>
      <c r="G184" s="5"/>
      <c r="H184" s="5"/>
      <c r="I184" s="5" t="str">
        <f ca="1">IFERROR(_xludf.XLOOKUP(H184,BD_VACANTES!A:A,BD_VACANTES!C:C,""),"")</f>
        <v/>
      </c>
      <c r="J184" s="5" t="str">
        <f ca="1">IFERROR(_xludf.XLOOKUP(H184,BD_VACANTES!A:A,BD_VACANTES!E:E,""),"")</f>
        <v/>
      </c>
      <c r="K184" s="5"/>
      <c r="L184" s="5"/>
      <c r="M184" s="5"/>
      <c r="N184" s="5"/>
      <c r="O184" s="5"/>
      <c r="P184" s="6"/>
      <c r="Q184" s="8" t="str">
        <f t="shared" ca="1" si="5"/>
        <v/>
      </c>
      <c r="R184" s="7"/>
      <c r="S184" s="5"/>
    </row>
    <row r="185" spans="1:19">
      <c r="A185" s="5" t="str">
        <f t="shared" si="4"/>
        <v/>
      </c>
      <c r="B185" s="6"/>
      <c r="C185" s="5"/>
      <c r="D185" s="5"/>
      <c r="E185" s="5"/>
      <c r="F185" s="5"/>
      <c r="G185" s="5"/>
      <c r="H185" s="5"/>
      <c r="I185" s="5" t="str">
        <f ca="1">IFERROR(_xludf.XLOOKUP(H185,BD_VACANTES!A:A,BD_VACANTES!C:C,""),"")</f>
        <v/>
      </c>
      <c r="J185" s="5" t="str">
        <f ca="1">IFERROR(_xludf.XLOOKUP(H185,BD_VACANTES!A:A,BD_VACANTES!E:E,""),"")</f>
        <v/>
      </c>
      <c r="K185" s="5"/>
      <c r="L185" s="5"/>
      <c r="M185" s="5"/>
      <c r="N185" s="5"/>
      <c r="O185" s="5"/>
      <c r="P185" s="6"/>
      <c r="Q185" s="8" t="str">
        <f t="shared" ca="1" si="5"/>
        <v/>
      </c>
      <c r="R185" s="7"/>
      <c r="S185" s="5"/>
    </row>
    <row r="186" spans="1:19">
      <c r="A186" s="5" t="str">
        <f t="shared" si="4"/>
        <v/>
      </c>
      <c r="B186" s="6"/>
      <c r="C186" s="5"/>
      <c r="D186" s="5"/>
      <c r="E186" s="5"/>
      <c r="F186" s="5"/>
      <c r="G186" s="5"/>
      <c r="H186" s="5"/>
      <c r="I186" s="5" t="str">
        <f ca="1">IFERROR(_xludf.XLOOKUP(H186,BD_VACANTES!A:A,BD_VACANTES!C:C,""),"")</f>
        <v/>
      </c>
      <c r="J186" s="5" t="str">
        <f ca="1">IFERROR(_xludf.XLOOKUP(H186,BD_VACANTES!A:A,BD_VACANTES!E:E,""),"")</f>
        <v/>
      </c>
      <c r="K186" s="5"/>
      <c r="L186" s="5"/>
      <c r="M186" s="5"/>
      <c r="N186" s="5"/>
      <c r="O186" s="5"/>
      <c r="P186" s="6"/>
      <c r="Q186" s="8" t="str">
        <f t="shared" ca="1" si="5"/>
        <v/>
      </c>
      <c r="R186" s="7"/>
      <c r="S186" s="5"/>
    </row>
    <row r="187" spans="1:19">
      <c r="A187" s="5" t="str">
        <f t="shared" si="4"/>
        <v/>
      </c>
      <c r="B187" s="6"/>
      <c r="C187" s="5"/>
      <c r="D187" s="5"/>
      <c r="E187" s="5"/>
      <c r="F187" s="5"/>
      <c r="G187" s="5"/>
      <c r="H187" s="5"/>
      <c r="I187" s="5" t="str">
        <f ca="1">IFERROR(_xludf.XLOOKUP(H187,BD_VACANTES!A:A,BD_VACANTES!C:C,""),"")</f>
        <v/>
      </c>
      <c r="J187" s="5" t="str">
        <f ca="1">IFERROR(_xludf.XLOOKUP(H187,BD_VACANTES!A:A,BD_VACANTES!E:E,""),"")</f>
        <v/>
      </c>
      <c r="K187" s="5"/>
      <c r="L187" s="5"/>
      <c r="M187" s="5"/>
      <c r="N187" s="5"/>
      <c r="O187" s="5"/>
      <c r="P187" s="6"/>
      <c r="Q187" s="8" t="str">
        <f t="shared" ca="1" si="5"/>
        <v/>
      </c>
      <c r="R187" s="7"/>
      <c r="S187" s="5"/>
    </row>
    <row r="188" spans="1:19">
      <c r="A188" s="5" t="str">
        <f t="shared" si="4"/>
        <v/>
      </c>
      <c r="B188" s="6"/>
      <c r="C188" s="5"/>
      <c r="D188" s="5"/>
      <c r="E188" s="5"/>
      <c r="F188" s="5"/>
      <c r="G188" s="5"/>
      <c r="H188" s="5"/>
      <c r="I188" s="5" t="str">
        <f ca="1">IFERROR(_xludf.XLOOKUP(H188,BD_VACANTES!A:A,BD_VACANTES!C:C,""),"")</f>
        <v/>
      </c>
      <c r="J188" s="5" t="str">
        <f ca="1">IFERROR(_xludf.XLOOKUP(H188,BD_VACANTES!A:A,BD_VACANTES!E:E,""),"")</f>
        <v/>
      </c>
      <c r="K188" s="5"/>
      <c r="L188" s="5"/>
      <c r="M188" s="5"/>
      <c r="N188" s="5"/>
      <c r="O188" s="5"/>
      <c r="P188" s="6"/>
      <c r="Q188" s="8" t="str">
        <f t="shared" ca="1" si="5"/>
        <v/>
      </c>
      <c r="R188" s="7"/>
      <c r="S188" s="5"/>
    </row>
    <row r="189" spans="1:19">
      <c r="A189" s="5" t="str">
        <f t="shared" si="4"/>
        <v/>
      </c>
      <c r="B189" s="6"/>
      <c r="C189" s="5"/>
      <c r="D189" s="5"/>
      <c r="E189" s="5"/>
      <c r="F189" s="5"/>
      <c r="G189" s="5"/>
      <c r="H189" s="5"/>
      <c r="I189" s="5" t="str">
        <f ca="1">IFERROR(_xludf.XLOOKUP(H189,BD_VACANTES!A:A,BD_VACANTES!C:C,""),"")</f>
        <v/>
      </c>
      <c r="J189" s="5" t="str">
        <f ca="1">IFERROR(_xludf.XLOOKUP(H189,BD_VACANTES!A:A,BD_VACANTES!E:E,""),"")</f>
        <v/>
      </c>
      <c r="K189" s="5"/>
      <c r="L189" s="5"/>
      <c r="M189" s="5"/>
      <c r="N189" s="5"/>
      <c r="O189" s="5"/>
      <c r="P189" s="6"/>
      <c r="Q189" s="8" t="str">
        <f t="shared" ca="1" si="5"/>
        <v/>
      </c>
      <c r="R189" s="7"/>
      <c r="S189" s="5"/>
    </row>
    <row r="190" spans="1:19">
      <c r="A190" s="5" t="str">
        <f t="shared" si="4"/>
        <v/>
      </c>
      <c r="B190" s="6"/>
      <c r="C190" s="5"/>
      <c r="D190" s="5"/>
      <c r="E190" s="5"/>
      <c r="F190" s="5"/>
      <c r="G190" s="5"/>
      <c r="H190" s="5"/>
      <c r="I190" s="5" t="str">
        <f ca="1">IFERROR(_xludf.XLOOKUP(H190,BD_VACANTES!A:A,BD_VACANTES!C:C,""),"")</f>
        <v/>
      </c>
      <c r="J190" s="5" t="str">
        <f ca="1">IFERROR(_xludf.XLOOKUP(H190,BD_VACANTES!A:A,BD_VACANTES!E:E,""),"")</f>
        <v/>
      </c>
      <c r="K190" s="5"/>
      <c r="L190" s="5"/>
      <c r="M190" s="5"/>
      <c r="N190" s="5"/>
      <c r="O190" s="5"/>
      <c r="P190" s="6"/>
      <c r="Q190" s="8" t="str">
        <f t="shared" ca="1" si="5"/>
        <v/>
      </c>
      <c r="R190" s="7"/>
      <c r="S190" s="5"/>
    </row>
    <row r="191" spans="1:19">
      <c r="A191" s="5" t="str">
        <f t="shared" si="4"/>
        <v/>
      </c>
      <c r="B191" s="6"/>
      <c r="C191" s="5"/>
      <c r="D191" s="5"/>
      <c r="E191" s="5"/>
      <c r="F191" s="5"/>
      <c r="G191" s="5"/>
      <c r="H191" s="5"/>
      <c r="I191" s="5" t="str">
        <f ca="1">IFERROR(_xludf.XLOOKUP(H191,BD_VACANTES!A:A,BD_VACANTES!C:C,""),"")</f>
        <v/>
      </c>
      <c r="J191" s="5" t="str">
        <f ca="1">IFERROR(_xludf.XLOOKUP(H191,BD_VACANTES!A:A,BD_VACANTES!E:E,""),"")</f>
        <v/>
      </c>
      <c r="K191" s="5"/>
      <c r="L191" s="5"/>
      <c r="M191" s="5"/>
      <c r="N191" s="5"/>
      <c r="O191" s="5"/>
      <c r="P191" s="6"/>
      <c r="Q191" s="8" t="str">
        <f t="shared" ca="1" si="5"/>
        <v/>
      </c>
      <c r="R191" s="7"/>
      <c r="S191" s="5"/>
    </row>
    <row r="192" spans="1:19">
      <c r="A192" s="5" t="str">
        <f t="shared" si="4"/>
        <v/>
      </c>
      <c r="B192" s="6"/>
      <c r="C192" s="5"/>
      <c r="D192" s="5"/>
      <c r="E192" s="5"/>
      <c r="F192" s="5"/>
      <c r="G192" s="5"/>
      <c r="H192" s="5"/>
      <c r="I192" s="5" t="str">
        <f ca="1">IFERROR(_xludf.XLOOKUP(H192,BD_VACANTES!A:A,BD_VACANTES!C:C,""),"")</f>
        <v/>
      </c>
      <c r="J192" s="5" t="str">
        <f ca="1">IFERROR(_xludf.XLOOKUP(H192,BD_VACANTES!A:A,BD_VACANTES!E:E,""),"")</f>
        <v/>
      </c>
      <c r="K192" s="5"/>
      <c r="L192" s="5"/>
      <c r="M192" s="5"/>
      <c r="N192" s="5"/>
      <c r="O192" s="5"/>
      <c r="P192" s="6"/>
      <c r="Q192" s="8" t="str">
        <f t="shared" ca="1" si="5"/>
        <v/>
      </c>
      <c r="R192" s="7"/>
      <c r="S192" s="5"/>
    </row>
    <row r="193" spans="1:19">
      <c r="A193" s="5" t="str">
        <f t="shared" si="4"/>
        <v/>
      </c>
      <c r="B193" s="6"/>
      <c r="C193" s="5"/>
      <c r="D193" s="5"/>
      <c r="E193" s="5"/>
      <c r="F193" s="5"/>
      <c r="G193" s="5"/>
      <c r="H193" s="5"/>
      <c r="I193" s="5" t="str">
        <f ca="1">IFERROR(_xludf.XLOOKUP(H193,BD_VACANTES!A:A,BD_VACANTES!C:C,""),"")</f>
        <v/>
      </c>
      <c r="J193" s="5" t="str">
        <f ca="1">IFERROR(_xludf.XLOOKUP(H193,BD_VACANTES!A:A,BD_VACANTES!E:E,""),"")</f>
        <v/>
      </c>
      <c r="K193" s="5"/>
      <c r="L193" s="5"/>
      <c r="M193" s="5"/>
      <c r="N193" s="5"/>
      <c r="O193" s="5"/>
      <c r="P193" s="6"/>
      <c r="Q193" s="8" t="str">
        <f t="shared" ca="1" si="5"/>
        <v/>
      </c>
      <c r="R193" s="7"/>
      <c r="S193" s="5"/>
    </row>
    <row r="194" spans="1:19">
      <c r="A194" s="5" t="str">
        <f t="shared" ref="A194:A257" si="6">IF(C194&lt;&gt;"","CAN-"&amp;TEXT(ROW()-1,"0000"),"")</f>
        <v/>
      </c>
      <c r="B194" s="6"/>
      <c r="C194" s="5"/>
      <c r="D194" s="5"/>
      <c r="E194" s="5"/>
      <c r="F194" s="5"/>
      <c r="G194" s="5"/>
      <c r="H194" s="5"/>
      <c r="I194" s="5" t="str">
        <f ca="1">IFERROR(_xludf.XLOOKUP(H194,BD_VACANTES!A:A,BD_VACANTES!C:C,""),"")</f>
        <v/>
      </c>
      <c r="J194" s="5" t="str">
        <f ca="1">IFERROR(_xludf.XLOOKUP(H194,BD_VACANTES!A:A,BD_VACANTES!E:E,""),"")</f>
        <v/>
      </c>
      <c r="K194" s="5"/>
      <c r="L194" s="5"/>
      <c r="M194" s="5"/>
      <c r="N194" s="5"/>
      <c r="O194" s="5"/>
      <c r="P194" s="6"/>
      <c r="Q194" s="8" t="str">
        <f t="shared" ref="Q194:Q257" ca="1" si="7">IF(B194="","",IF(P194&lt;&gt;"",P194-B194,TODAY()-B194))</f>
        <v/>
      </c>
      <c r="R194" s="7"/>
      <c r="S194" s="5"/>
    </row>
    <row r="195" spans="1:19">
      <c r="A195" s="5" t="str">
        <f t="shared" si="6"/>
        <v/>
      </c>
      <c r="B195" s="6"/>
      <c r="C195" s="5"/>
      <c r="D195" s="5"/>
      <c r="E195" s="5"/>
      <c r="F195" s="5"/>
      <c r="G195" s="5"/>
      <c r="H195" s="5"/>
      <c r="I195" s="5" t="str">
        <f ca="1">IFERROR(_xludf.XLOOKUP(H195,BD_VACANTES!A:A,BD_VACANTES!C:C,""),"")</f>
        <v/>
      </c>
      <c r="J195" s="5" t="str">
        <f ca="1">IFERROR(_xludf.XLOOKUP(H195,BD_VACANTES!A:A,BD_VACANTES!E:E,""),"")</f>
        <v/>
      </c>
      <c r="K195" s="5"/>
      <c r="L195" s="5"/>
      <c r="M195" s="5"/>
      <c r="N195" s="5"/>
      <c r="O195" s="5"/>
      <c r="P195" s="6"/>
      <c r="Q195" s="8" t="str">
        <f t="shared" ca="1" si="7"/>
        <v/>
      </c>
      <c r="R195" s="7"/>
      <c r="S195" s="5"/>
    </row>
    <row r="196" spans="1:19">
      <c r="A196" s="5" t="str">
        <f t="shared" si="6"/>
        <v/>
      </c>
      <c r="B196" s="6"/>
      <c r="C196" s="5"/>
      <c r="D196" s="5"/>
      <c r="E196" s="5"/>
      <c r="F196" s="5"/>
      <c r="G196" s="5"/>
      <c r="H196" s="5"/>
      <c r="I196" s="5" t="str">
        <f ca="1">IFERROR(_xludf.XLOOKUP(H196,BD_VACANTES!A:A,BD_VACANTES!C:C,""),"")</f>
        <v/>
      </c>
      <c r="J196" s="5" t="str">
        <f ca="1">IFERROR(_xludf.XLOOKUP(H196,BD_VACANTES!A:A,BD_VACANTES!E:E,""),"")</f>
        <v/>
      </c>
      <c r="K196" s="5"/>
      <c r="L196" s="5"/>
      <c r="M196" s="5"/>
      <c r="N196" s="5"/>
      <c r="O196" s="5"/>
      <c r="P196" s="6"/>
      <c r="Q196" s="8" t="str">
        <f t="shared" ca="1" si="7"/>
        <v/>
      </c>
      <c r="R196" s="7"/>
      <c r="S196" s="5"/>
    </row>
    <row r="197" spans="1:19">
      <c r="A197" s="5" t="str">
        <f t="shared" si="6"/>
        <v/>
      </c>
      <c r="B197" s="6"/>
      <c r="C197" s="5"/>
      <c r="D197" s="5"/>
      <c r="E197" s="5"/>
      <c r="F197" s="5"/>
      <c r="G197" s="5"/>
      <c r="H197" s="5"/>
      <c r="I197" s="5" t="str">
        <f ca="1">IFERROR(_xludf.XLOOKUP(H197,BD_VACANTES!A:A,BD_VACANTES!C:C,""),"")</f>
        <v/>
      </c>
      <c r="J197" s="5" t="str">
        <f ca="1">IFERROR(_xludf.XLOOKUP(H197,BD_VACANTES!A:A,BD_VACANTES!E:E,""),"")</f>
        <v/>
      </c>
      <c r="K197" s="5"/>
      <c r="L197" s="5"/>
      <c r="M197" s="5"/>
      <c r="N197" s="5"/>
      <c r="O197" s="5"/>
      <c r="P197" s="6"/>
      <c r="Q197" s="8" t="str">
        <f t="shared" ca="1" si="7"/>
        <v/>
      </c>
      <c r="R197" s="7"/>
      <c r="S197" s="5"/>
    </row>
    <row r="198" spans="1:19">
      <c r="A198" s="5" t="str">
        <f t="shared" si="6"/>
        <v/>
      </c>
      <c r="B198" s="6"/>
      <c r="C198" s="5"/>
      <c r="D198" s="5"/>
      <c r="E198" s="5"/>
      <c r="F198" s="5"/>
      <c r="G198" s="5"/>
      <c r="H198" s="5"/>
      <c r="I198" s="5" t="str">
        <f ca="1">IFERROR(_xludf.XLOOKUP(H198,BD_VACANTES!A:A,BD_VACANTES!C:C,""),"")</f>
        <v/>
      </c>
      <c r="J198" s="5" t="str">
        <f ca="1">IFERROR(_xludf.XLOOKUP(H198,BD_VACANTES!A:A,BD_VACANTES!E:E,""),"")</f>
        <v/>
      </c>
      <c r="K198" s="5"/>
      <c r="L198" s="5"/>
      <c r="M198" s="5"/>
      <c r="N198" s="5"/>
      <c r="O198" s="5"/>
      <c r="P198" s="6"/>
      <c r="Q198" s="8" t="str">
        <f t="shared" ca="1" si="7"/>
        <v/>
      </c>
      <c r="R198" s="7"/>
      <c r="S198" s="5"/>
    </row>
    <row r="199" spans="1:19">
      <c r="A199" s="5" t="str">
        <f t="shared" si="6"/>
        <v/>
      </c>
      <c r="B199" s="6"/>
      <c r="C199" s="5"/>
      <c r="D199" s="5"/>
      <c r="E199" s="5"/>
      <c r="F199" s="5"/>
      <c r="G199" s="5"/>
      <c r="H199" s="5"/>
      <c r="I199" s="5" t="str">
        <f ca="1">IFERROR(_xludf.XLOOKUP(H199,BD_VACANTES!A:A,BD_VACANTES!C:C,""),"")</f>
        <v/>
      </c>
      <c r="J199" s="5" t="str">
        <f ca="1">IFERROR(_xludf.XLOOKUP(H199,BD_VACANTES!A:A,BD_VACANTES!E:E,""),"")</f>
        <v/>
      </c>
      <c r="K199" s="5"/>
      <c r="L199" s="5"/>
      <c r="M199" s="5"/>
      <c r="N199" s="5"/>
      <c r="O199" s="5"/>
      <c r="P199" s="6"/>
      <c r="Q199" s="8" t="str">
        <f t="shared" ca="1" si="7"/>
        <v/>
      </c>
      <c r="R199" s="7"/>
      <c r="S199" s="5"/>
    </row>
    <row r="200" spans="1:19">
      <c r="A200" s="5" t="str">
        <f t="shared" si="6"/>
        <v/>
      </c>
      <c r="B200" s="6"/>
      <c r="C200" s="5"/>
      <c r="D200" s="5"/>
      <c r="E200" s="5"/>
      <c r="F200" s="5"/>
      <c r="G200" s="5"/>
      <c r="H200" s="5"/>
      <c r="I200" s="5" t="str">
        <f ca="1">IFERROR(_xludf.XLOOKUP(H200,BD_VACANTES!A:A,BD_VACANTES!C:C,""),"")</f>
        <v/>
      </c>
      <c r="J200" s="5" t="str">
        <f ca="1">IFERROR(_xludf.XLOOKUP(H200,BD_VACANTES!A:A,BD_VACANTES!E:E,""),"")</f>
        <v/>
      </c>
      <c r="K200" s="5"/>
      <c r="L200" s="5"/>
      <c r="M200" s="5"/>
      <c r="N200" s="5"/>
      <c r="O200" s="5"/>
      <c r="P200" s="6"/>
      <c r="Q200" s="8" t="str">
        <f t="shared" ca="1" si="7"/>
        <v/>
      </c>
      <c r="R200" s="7"/>
      <c r="S200" s="5"/>
    </row>
    <row r="201" spans="1:19">
      <c r="A201" s="5" t="str">
        <f t="shared" si="6"/>
        <v/>
      </c>
      <c r="B201" s="6"/>
      <c r="C201" s="5"/>
      <c r="D201" s="5"/>
      <c r="E201" s="5"/>
      <c r="F201" s="5"/>
      <c r="G201" s="5"/>
      <c r="H201" s="5"/>
      <c r="I201" s="5" t="str">
        <f ca="1">IFERROR(_xludf.XLOOKUP(H201,BD_VACANTES!A:A,BD_VACANTES!C:C,""),"")</f>
        <v/>
      </c>
      <c r="J201" s="5" t="str">
        <f ca="1">IFERROR(_xludf.XLOOKUP(H201,BD_VACANTES!A:A,BD_VACANTES!E:E,""),"")</f>
        <v/>
      </c>
      <c r="K201" s="5"/>
      <c r="L201" s="5"/>
      <c r="M201" s="5"/>
      <c r="N201" s="5"/>
      <c r="O201" s="5"/>
      <c r="P201" s="6"/>
      <c r="Q201" s="8" t="str">
        <f t="shared" ca="1" si="7"/>
        <v/>
      </c>
      <c r="R201" s="7"/>
      <c r="S201" s="5"/>
    </row>
    <row r="202" spans="1:19">
      <c r="A202" s="5" t="str">
        <f t="shared" si="6"/>
        <v/>
      </c>
      <c r="B202" s="6"/>
      <c r="C202" s="5"/>
      <c r="D202" s="5"/>
      <c r="E202" s="5"/>
      <c r="F202" s="5"/>
      <c r="G202" s="5"/>
      <c r="H202" s="5"/>
      <c r="I202" s="5" t="str">
        <f ca="1">IFERROR(_xludf.XLOOKUP(H202,BD_VACANTES!A:A,BD_VACANTES!C:C,""),"")</f>
        <v/>
      </c>
      <c r="J202" s="5" t="str">
        <f ca="1">IFERROR(_xludf.XLOOKUP(H202,BD_VACANTES!A:A,BD_VACANTES!E:E,""),"")</f>
        <v/>
      </c>
      <c r="K202" s="5"/>
      <c r="L202" s="5"/>
      <c r="M202" s="5"/>
      <c r="N202" s="5"/>
      <c r="O202" s="5"/>
      <c r="P202" s="6"/>
      <c r="Q202" s="8" t="str">
        <f t="shared" ca="1" si="7"/>
        <v/>
      </c>
      <c r="R202" s="7"/>
      <c r="S202" s="5"/>
    </row>
    <row r="203" spans="1:19">
      <c r="A203" s="5" t="str">
        <f t="shared" si="6"/>
        <v/>
      </c>
      <c r="B203" s="6"/>
      <c r="C203" s="5"/>
      <c r="D203" s="5"/>
      <c r="E203" s="5"/>
      <c r="F203" s="5"/>
      <c r="G203" s="5"/>
      <c r="H203" s="5"/>
      <c r="I203" s="5" t="str">
        <f ca="1">IFERROR(_xludf.XLOOKUP(H203,BD_VACANTES!A:A,BD_VACANTES!C:C,""),"")</f>
        <v/>
      </c>
      <c r="J203" s="5" t="str">
        <f ca="1">IFERROR(_xludf.XLOOKUP(H203,BD_VACANTES!A:A,BD_VACANTES!E:E,""),"")</f>
        <v/>
      </c>
      <c r="K203" s="5"/>
      <c r="L203" s="5"/>
      <c r="M203" s="5"/>
      <c r="N203" s="5"/>
      <c r="O203" s="5"/>
      <c r="P203" s="6"/>
      <c r="Q203" s="8" t="str">
        <f t="shared" ca="1" si="7"/>
        <v/>
      </c>
      <c r="R203" s="7"/>
      <c r="S203" s="5"/>
    </row>
    <row r="204" spans="1:19">
      <c r="A204" s="5" t="str">
        <f t="shared" si="6"/>
        <v/>
      </c>
      <c r="B204" s="6"/>
      <c r="C204" s="5"/>
      <c r="D204" s="5"/>
      <c r="E204" s="5"/>
      <c r="F204" s="5"/>
      <c r="G204" s="5"/>
      <c r="H204" s="5"/>
      <c r="I204" s="5" t="str">
        <f ca="1">IFERROR(_xludf.XLOOKUP(H204,BD_VACANTES!A:A,BD_VACANTES!C:C,""),"")</f>
        <v/>
      </c>
      <c r="J204" s="5" t="str">
        <f ca="1">IFERROR(_xludf.XLOOKUP(H204,BD_VACANTES!A:A,BD_VACANTES!E:E,""),"")</f>
        <v/>
      </c>
      <c r="K204" s="5"/>
      <c r="L204" s="5"/>
      <c r="M204" s="5"/>
      <c r="N204" s="5"/>
      <c r="O204" s="5"/>
      <c r="P204" s="6"/>
      <c r="Q204" s="8" t="str">
        <f t="shared" ca="1" si="7"/>
        <v/>
      </c>
      <c r="R204" s="7"/>
      <c r="S204" s="5"/>
    </row>
    <row r="205" spans="1:19">
      <c r="A205" s="5" t="str">
        <f t="shared" si="6"/>
        <v/>
      </c>
      <c r="B205" s="6"/>
      <c r="C205" s="5"/>
      <c r="D205" s="5"/>
      <c r="E205" s="5"/>
      <c r="F205" s="5"/>
      <c r="G205" s="5"/>
      <c r="H205" s="5"/>
      <c r="I205" s="5" t="str">
        <f ca="1">IFERROR(_xludf.XLOOKUP(H205,BD_VACANTES!A:A,BD_VACANTES!C:C,""),"")</f>
        <v/>
      </c>
      <c r="J205" s="5" t="str">
        <f ca="1">IFERROR(_xludf.XLOOKUP(H205,BD_VACANTES!A:A,BD_VACANTES!E:E,""),"")</f>
        <v/>
      </c>
      <c r="K205" s="5"/>
      <c r="L205" s="5"/>
      <c r="M205" s="5"/>
      <c r="N205" s="5"/>
      <c r="O205" s="5"/>
      <c r="P205" s="6"/>
      <c r="Q205" s="8" t="str">
        <f t="shared" ca="1" si="7"/>
        <v/>
      </c>
      <c r="R205" s="7"/>
      <c r="S205" s="5"/>
    </row>
    <row r="206" spans="1:19">
      <c r="A206" s="5" t="str">
        <f t="shared" si="6"/>
        <v/>
      </c>
      <c r="B206" s="6"/>
      <c r="C206" s="5"/>
      <c r="D206" s="5"/>
      <c r="E206" s="5"/>
      <c r="F206" s="5"/>
      <c r="G206" s="5"/>
      <c r="H206" s="5"/>
      <c r="I206" s="5" t="str">
        <f ca="1">IFERROR(_xludf.XLOOKUP(H206,BD_VACANTES!A:A,BD_VACANTES!C:C,""),"")</f>
        <v/>
      </c>
      <c r="J206" s="5" t="str">
        <f ca="1">IFERROR(_xludf.XLOOKUP(H206,BD_VACANTES!A:A,BD_VACANTES!E:E,""),"")</f>
        <v/>
      </c>
      <c r="K206" s="5"/>
      <c r="L206" s="5"/>
      <c r="M206" s="5"/>
      <c r="N206" s="5"/>
      <c r="O206" s="5"/>
      <c r="P206" s="6"/>
      <c r="Q206" s="8" t="str">
        <f t="shared" ca="1" si="7"/>
        <v/>
      </c>
      <c r="R206" s="7"/>
      <c r="S206" s="5"/>
    </row>
    <row r="207" spans="1:19">
      <c r="A207" s="5" t="str">
        <f t="shared" si="6"/>
        <v/>
      </c>
      <c r="B207" s="6"/>
      <c r="C207" s="5"/>
      <c r="D207" s="5"/>
      <c r="E207" s="5"/>
      <c r="F207" s="5"/>
      <c r="G207" s="5"/>
      <c r="H207" s="5"/>
      <c r="I207" s="5" t="str">
        <f ca="1">IFERROR(_xludf.XLOOKUP(H207,BD_VACANTES!A:A,BD_VACANTES!C:C,""),"")</f>
        <v/>
      </c>
      <c r="J207" s="5" t="str">
        <f ca="1">IFERROR(_xludf.XLOOKUP(H207,BD_VACANTES!A:A,BD_VACANTES!E:E,""),"")</f>
        <v/>
      </c>
      <c r="K207" s="5"/>
      <c r="L207" s="5"/>
      <c r="M207" s="5"/>
      <c r="N207" s="5"/>
      <c r="O207" s="5"/>
      <c r="P207" s="6"/>
      <c r="Q207" s="8" t="str">
        <f t="shared" ca="1" si="7"/>
        <v/>
      </c>
      <c r="R207" s="7"/>
      <c r="S207" s="5"/>
    </row>
    <row r="208" spans="1:19">
      <c r="A208" s="5" t="str">
        <f t="shared" si="6"/>
        <v/>
      </c>
      <c r="B208" s="6"/>
      <c r="C208" s="5"/>
      <c r="D208" s="5"/>
      <c r="E208" s="5"/>
      <c r="F208" s="5"/>
      <c r="G208" s="5"/>
      <c r="H208" s="5"/>
      <c r="I208" s="5" t="str">
        <f ca="1">IFERROR(_xludf.XLOOKUP(H208,BD_VACANTES!A:A,BD_VACANTES!C:C,""),"")</f>
        <v/>
      </c>
      <c r="J208" s="5" t="str">
        <f ca="1">IFERROR(_xludf.XLOOKUP(H208,BD_VACANTES!A:A,BD_VACANTES!E:E,""),"")</f>
        <v/>
      </c>
      <c r="K208" s="5"/>
      <c r="L208" s="5"/>
      <c r="M208" s="5"/>
      <c r="N208" s="5"/>
      <c r="O208" s="5"/>
      <c r="P208" s="6"/>
      <c r="Q208" s="8" t="str">
        <f t="shared" ca="1" si="7"/>
        <v/>
      </c>
      <c r="R208" s="7"/>
      <c r="S208" s="5"/>
    </row>
    <row r="209" spans="1:19">
      <c r="A209" s="5" t="str">
        <f t="shared" si="6"/>
        <v/>
      </c>
      <c r="B209" s="6"/>
      <c r="C209" s="5"/>
      <c r="D209" s="5"/>
      <c r="E209" s="5"/>
      <c r="F209" s="5"/>
      <c r="G209" s="5"/>
      <c r="H209" s="5"/>
      <c r="I209" s="5" t="str">
        <f ca="1">IFERROR(_xludf.XLOOKUP(H209,BD_VACANTES!A:A,BD_VACANTES!C:C,""),"")</f>
        <v/>
      </c>
      <c r="J209" s="5" t="str">
        <f ca="1">IFERROR(_xludf.XLOOKUP(H209,BD_VACANTES!A:A,BD_VACANTES!E:E,""),"")</f>
        <v/>
      </c>
      <c r="K209" s="5"/>
      <c r="L209" s="5"/>
      <c r="M209" s="5"/>
      <c r="N209" s="5"/>
      <c r="O209" s="5"/>
      <c r="P209" s="6"/>
      <c r="Q209" s="8" t="str">
        <f t="shared" ca="1" si="7"/>
        <v/>
      </c>
      <c r="R209" s="7"/>
      <c r="S209" s="5"/>
    </row>
    <row r="210" spans="1:19">
      <c r="A210" s="5" t="str">
        <f t="shared" si="6"/>
        <v/>
      </c>
      <c r="B210" s="6"/>
      <c r="C210" s="5"/>
      <c r="D210" s="5"/>
      <c r="E210" s="5"/>
      <c r="F210" s="5"/>
      <c r="G210" s="5"/>
      <c r="H210" s="5"/>
      <c r="I210" s="5" t="str">
        <f ca="1">IFERROR(_xludf.XLOOKUP(H210,BD_VACANTES!A:A,BD_VACANTES!C:C,""),"")</f>
        <v/>
      </c>
      <c r="J210" s="5" t="str">
        <f ca="1">IFERROR(_xludf.XLOOKUP(H210,BD_VACANTES!A:A,BD_VACANTES!E:E,""),"")</f>
        <v/>
      </c>
      <c r="K210" s="5"/>
      <c r="L210" s="5"/>
      <c r="M210" s="5"/>
      <c r="N210" s="5"/>
      <c r="O210" s="5"/>
      <c r="P210" s="6"/>
      <c r="Q210" s="8" t="str">
        <f t="shared" ca="1" si="7"/>
        <v/>
      </c>
      <c r="R210" s="7"/>
      <c r="S210" s="5"/>
    </row>
    <row r="211" spans="1:19">
      <c r="A211" s="5" t="str">
        <f t="shared" si="6"/>
        <v/>
      </c>
      <c r="B211" s="6"/>
      <c r="C211" s="5"/>
      <c r="D211" s="5"/>
      <c r="E211" s="5"/>
      <c r="F211" s="5"/>
      <c r="G211" s="5"/>
      <c r="H211" s="5"/>
      <c r="I211" s="5" t="str">
        <f ca="1">IFERROR(_xludf.XLOOKUP(H211,BD_VACANTES!A:A,BD_VACANTES!C:C,""),"")</f>
        <v/>
      </c>
      <c r="J211" s="5" t="str">
        <f ca="1">IFERROR(_xludf.XLOOKUP(H211,BD_VACANTES!A:A,BD_VACANTES!E:E,""),"")</f>
        <v/>
      </c>
      <c r="K211" s="5"/>
      <c r="L211" s="5"/>
      <c r="M211" s="5"/>
      <c r="N211" s="5"/>
      <c r="O211" s="5"/>
      <c r="P211" s="6"/>
      <c r="Q211" s="8" t="str">
        <f t="shared" ca="1" si="7"/>
        <v/>
      </c>
      <c r="R211" s="7"/>
      <c r="S211" s="5"/>
    </row>
    <row r="212" spans="1:19">
      <c r="A212" s="5" t="str">
        <f t="shared" si="6"/>
        <v/>
      </c>
      <c r="B212" s="6"/>
      <c r="C212" s="5"/>
      <c r="D212" s="5"/>
      <c r="E212" s="5"/>
      <c r="F212" s="5"/>
      <c r="G212" s="5"/>
      <c r="H212" s="5"/>
      <c r="I212" s="5" t="str">
        <f ca="1">IFERROR(_xludf.XLOOKUP(H212,BD_VACANTES!A:A,BD_VACANTES!C:C,""),"")</f>
        <v/>
      </c>
      <c r="J212" s="5" t="str">
        <f ca="1">IFERROR(_xludf.XLOOKUP(H212,BD_VACANTES!A:A,BD_VACANTES!E:E,""),"")</f>
        <v/>
      </c>
      <c r="K212" s="5"/>
      <c r="L212" s="5"/>
      <c r="M212" s="5"/>
      <c r="N212" s="5"/>
      <c r="O212" s="5"/>
      <c r="P212" s="6"/>
      <c r="Q212" s="8" t="str">
        <f t="shared" ca="1" si="7"/>
        <v/>
      </c>
      <c r="R212" s="7"/>
      <c r="S212" s="5"/>
    </row>
    <row r="213" spans="1:19">
      <c r="A213" s="5" t="str">
        <f t="shared" si="6"/>
        <v/>
      </c>
      <c r="B213" s="6"/>
      <c r="C213" s="5"/>
      <c r="D213" s="5"/>
      <c r="E213" s="5"/>
      <c r="F213" s="5"/>
      <c r="G213" s="5"/>
      <c r="H213" s="5"/>
      <c r="I213" s="5" t="str">
        <f ca="1">IFERROR(_xludf.XLOOKUP(H213,BD_VACANTES!A:A,BD_VACANTES!C:C,""),"")</f>
        <v/>
      </c>
      <c r="J213" s="5" t="str">
        <f ca="1">IFERROR(_xludf.XLOOKUP(H213,BD_VACANTES!A:A,BD_VACANTES!E:E,""),"")</f>
        <v/>
      </c>
      <c r="K213" s="5"/>
      <c r="L213" s="5"/>
      <c r="M213" s="5"/>
      <c r="N213" s="5"/>
      <c r="O213" s="5"/>
      <c r="P213" s="6"/>
      <c r="Q213" s="8" t="str">
        <f t="shared" ca="1" si="7"/>
        <v/>
      </c>
      <c r="R213" s="7"/>
      <c r="S213" s="5"/>
    </row>
    <row r="214" spans="1:19">
      <c r="A214" s="5" t="str">
        <f t="shared" si="6"/>
        <v/>
      </c>
      <c r="B214" s="6"/>
      <c r="C214" s="5"/>
      <c r="D214" s="5"/>
      <c r="E214" s="5"/>
      <c r="F214" s="5"/>
      <c r="G214" s="5"/>
      <c r="H214" s="5"/>
      <c r="I214" s="5" t="str">
        <f ca="1">IFERROR(_xludf.XLOOKUP(H214,BD_VACANTES!A:A,BD_VACANTES!C:C,""),"")</f>
        <v/>
      </c>
      <c r="J214" s="5" t="str">
        <f ca="1">IFERROR(_xludf.XLOOKUP(H214,BD_VACANTES!A:A,BD_VACANTES!E:E,""),"")</f>
        <v/>
      </c>
      <c r="K214" s="5"/>
      <c r="L214" s="5"/>
      <c r="M214" s="5"/>
      <c r="N214" s="5"/>
      <c r="O214" s="5"/>
      <c r="P214" s="6"/>
      <c r="Q214" s="8" t="str">
        <f t="shared" ca="1" si="7"/>
        <v/>
      </c>
      <c r="R214" s="7"/>
      <c r="S214" s="5"/>
    </row>
    <row r="215" spans="1:19">
      <c r="A215" s="5" t="str">
        <f t="shared" si="6"/>
        <v/>
      </c>
      <c r="B215" s="6"/>
      <c r="C215" s="5"/>
      <c r="D215" s="5"/>
      <c r="E215" s="5"/>
      <c r="F215" s="5"/>
      <c r="G215" s="5"/>
      <c r="H215" s="5"/>
      <c r="I215" s="5" t="str">
        <f ca="1">IFERROR(_xludf.XLOOKUP(H215,BD_VACANTES!A:A,BD_VACANTES!C:C,""),"")</f>
        <v/>
      </c>
      <c r="J215" s="5" t="str">
        <f ca="1">IFERROR(_xludf.XLOOKUP(H215,BD_VACANTES!A:A,BD_VACANTES!E:E,""),"")</f>
        <v/>
      </c>
      <c r="K215" s="5"/>
      <c r="L215" s="5"/>
      <c r="M215" s="5"/>
      <c r="N215" s="5"/>
      <c r="O215" s="5"/>
      <c r="P215" s="6"/>
      <c r="Q215" s="8" t="str">
        <f t="shared" ca="1" si="7"/>
        <v/>
      </c>
      <c r="R215" s="7"/>
      <c r="S215" s="5"/>
    </row>
    <row r="216" spans="1:19">
      <c r="A216" s="5" t="str">
        <f t="shared" si="6"/>
        <v/>
      </c>
      <c r="B216" s="6"/>
      <c r="C216" s="5"/>
      <c r="D216" s="5"/>
      <c r="E216" s="5"/>
      <c r="F216" s="5"/>
      <c r="G216" s="5"/>
      <c r="H216" s="5"/>
      <c r="I216" s="5" t="str">
        <f ca="1">IFERROR(_xludf.XLOOKUP(H216,BD_VACANTES!A:A,BD_VACANTES!C:C,""),"")</f>
        <v/>
      </c>
      <c r="J216" s="5" t="str">
        <f ca="1">IFERROR(_xludf.XLOOKUP(H216,BD_VACANTES!A:A,BD_VACANTES!E:E,""),"")</f>
        <v/>
      </c>
      <c r="K216" s="5"/>
      <c r="L216" s="5"/>
      <c r="M216" s="5"/>
      <c r="N216" s="5"/>
      <c r="O216" s="5"/>
      <c r="P216" s="6"/>
      <c r="Q216" s="8" t="str">
        <f t="shared" ca="1" si="7"/>
        <v/>
      </c>
      <c r="R216" s="7"/>
      <c r="S216" s="5"/>
    </row>
    <row r="217" spans="1:19">
      <c r="A217" s="5" t="str">
        <f t="shared" si="6"/>
        <v/>
      </c>
      <c r="B217" s="6"/>
      <c r="C217" s="5"/>
      <c r="D217" s="5"/>
      <c r="E217" s="5"/>
      <c r="F217" s="5"/>
      <c r="G217" s="5"/>
      <c r="H217" s="5"/>
      <c r="I217" s="5" t="str">
        <f ca="1">IFERROR(_xludf.XLOOKUP(H217,BD_VACANTES!A:A,BD_VACANTES!C:C,""),"")</f>
        <v/>
      </c>
      <c r="J217" s="5" t="str">
        <f ca="1">IFERROR(_xludf.XLOOKUP(H217,BD_VACANTES!A:A,BD_VACANTES!E:E,""),"")</f>
        <v/>
      </c>
      <c r="K217" s="5"/>
      <c r="L217" s="5"/>
      <c r="M217" s="5"/>
      <c r="N217" s="5"/>
      <c r="O217" s="5"/>
      <c r="P217" s="6"/>
      <c r="Q217" s="8" t="str">
        <f t="shared" ca="1" si="7"/>
        <v/>
      </c>
      <c r="R217" s="7"/>
      <c r="S217" s="5"/>
    </row>
    <row r="218" spans="1:19">
      <c r="A218" s="5" t="str">
        <f t="shared" si="6"/>
        <v/>
      </c>
      <c r="B218" s="6"/>
      <c r="C218" s="5"/>
      <c r="D218" s="5"/>
      <c r="E218" s="5"/>
      <c r="F218" s="5"/>
      <c r="G218" s="5"/>
      <c r="H218" s="5"/>
      <c r="I218" s="5" t="str">
        <f ca="1">IFERROR(_xludf.XLOOKUP(H218,BD_VACANTES!A:A,BD_VACANTES!C:C,""),"")</f>
        <v/>
      </c>
      <c r="J218" s="5" t="str">
        <f ca="1">IFERROR(_xludf.XLOOKUP(H218,BD_VACANTES!A:A,BD_VACANTES!E:E,""),"")</f>
        <v/>
      </c>
      <c r="K218" s="5"/>
      <c r="L218" s="5"/>
      <c r="M218" s="5"/>
      <c r="N218" s="5"/>
      <c r="O218" s="5"/>
      <c r="P218" s="6"/>
      <c r="Q218" s="8" t="str">
        <f t="shared" ca="1" si="7"/>
        <v/>
      </c>
      <c r="R218" s="7"/>
      <c r="S218" s="5"/>
    </row>
    <row r="219" spans="1:19">
      <c r="A219" s="5" t="str">
        <f t="shared" si="6"/>
        <v/>
      </c>
      <c r="B219" s="6"/>
      <c r="C219" s="5"/>
      <c r="D219" s="5"/>
      <c r="E219" s="5"/>
      <c r="F219" s="5"/>
      <c r="G219" s="5"/>
      <c r="H219" s="5"/>
      <c r="I219" s="5" t="str">
        <f ca="1">IFERROR(_xludf.XLOOKUP(H219,BD_VACANTES!A:A,BD_VACANTES!C:C,""),"")</f>
        <v/>
      </c>
      <c r="J219" s="5" t="str">
        <f ca="1">IFERROR(_xludf.XLOOKUP(H219,BD_VACANTES!A:A,BD_VACANTES!E:E,""),"")</f>
        <v/>
      </c>
      <c r="K219" s="5"/>
      <c r="L219" s="5"/>
      <c r="M219" s="5"/>
      <c r="N219" s="5"/>
      <c r="O219" s="5"/>
      <c r="P219" s="6"/>
      <c r="Q219" s="8" t="str">
        <f t="shared" ca="1" si="7"/>
        <v/>
      </c>
      <c r="R219" s="7"/>
      <c r="S219" s="5"/>
    </row>
    <row r="220" spans="1:19">
      <c r="A220" s="5" t="str">
        <f t="shared" si="6"/>
        <v/>
      </c>
      <c r="B220" s="6"/>
      <c r="C220" s="5"/>
      <c r="D220" s="5"/>
      <c r="E220" s="5"/>
      <c r="F220" s="5"/>
      <c r="G220" s="5"/>
      <c r="H220" s="5"/>
      <c r="I220" s="5" t="str">
        <f ca="1">IFERROR(_xludf.XLOOKUP(H220,BD_VACANTES!A:A,BD_VACANTES!C:C,""),"")</f>
        <v/>
      </c>
      <c r="J220" s="5" t="str">
        <f ca="1">IFERROR(_xludf.XLOOKUP(H220,BD_VACANTES!A:A,BD_VACANTES!E:E,""),"")</f>
        <v/>
      </c>
      <c r="K220" s="5"/>
      <c r="L220" s="5"/>
      <c r="M220" s="5"/>
      <c r="N220" s="5"/>
      <c r="O220" s="5"/>
      <c r="P220" s="6"/>
      <c r="Q220" s="8" t="str">
        <f t="shared" ca="1" si="7"/>
        <v/>
      </c>
      <c r="R220" s="7"/>
      <c r="S220" s="5"/>
    </row>
    <row r="221" spans="1:19">
      <c r="A221" s="5" t="str">
        <f t="shared" si="6"/>
        <v/>
      </c>
      <c r="B221" s="6"/>
      <c r="C221" s="5"/>
      <c r="D221" s="5"/>
      <c r="E221" s="5"/>
      <c r="F221" s="5"/>
      <c r="G221" s="5"/>
      <c r="H221" s="5"/>
      <c r="I221" s="5" t="str">
        <f ca="1">IFERROR(_xludf.XLOOKUP(H221,BD_VACANTES!A:A,BD_VACANTES!C:C,""),"")</f>
        <v/>
      </c>
      <c r="J221" s="5" t="str">
        <f ca="1">IFERROR(_xludf.XLOOKUP(H221,BD_VACANTES!A:A,BD_VACANTES!E:E,""),"")</f>
        <v/>
      </c>
      <c r="K221" s="5"/>
      <c r="L221" s="5"/>
      <c r="M221" s="5"/>
      <c r="N221" s="5"/>
      <c r="O221" s="5"/>
      <c r="P221" s="6"/>
      <c r="Q221" s="8" t="str">
        <f t="shared" ca="1" si="7"/>
        <v/>
      </c>
      <c r="R221" s="7"/>
      <c r="S221" s="5"/>
    </row>
    <row r="222" spans="1:19">
      <c r="A222" s="5" t="str">
        <f t="shared" si="6"/>
        <v/>
      </c>
      <c r="B222" s="6"/>
      <c r="C222" s="5"/>
      <c r="D222" s="5"/>
      <c r="E222" s="5"/>
      <c r="F222" s="5"/>
      <c r="G222" s="5"/>
      <c r="H222" s="5"/>
      <c r="I222" s="5" t="str">
        <f ca="1">IFERROR(_xludf.XLOOKUP(H222,BD_VACANTES!A:A,BD_VACANTES!C:C,""),"")</f>
        <v/>
      </c>
      <c r="J222" s="5" t="str">
        <f ca="1">IFERROR(_xludf.XLOOKUP(H222,BD_VACANTES!A:A,BD_VACANTES!E:E,""),"")</f>
        <v/>
      </c>
      <c r="K222" s="5"/>
      <c r="L222" s="5"/>
      <c r="M222" s="5"/>
      <c r="N222" s="5"/>
      <c r="O222" s="5"/>
      <c r="P222" s="6"/>
      <c r="Q222" s="8" t="str">
        <f t="shared" ca="1" si="7"/>
        <v/>
      </c>
      <c r="R222" s="7"/>
      <c r="S222" s="5"/>
    </row>
    <row r="223" spans="1:19">
      <c r="A223" s="5" t="str">
        <f t="shared" si="6"/>
        <v/>
      </c>
      <c r="B223" s="6"/>
      <c r="C223" s="5"/>
      <c r="D223" s="5"/>
      <c r="E223" s="5"/>
      <c r="F223" s="5"/>
      <c r="G223" s="5"/>
      <c r="H223" s="5"/>
      <c r="I223" s="5" t="str">
        <f ca="1">IFERROR(_xludf.XLOOKUP(H223,BD_VACANTES!A:A,BD_VACANTES!C:C,""),"")</f>
        <v/>
      </c>
      <c r="J223" s="5" t="str">
        <f ca="1">IFERROR(_xludf.XLOOKUP(H223,BD_VACANTES!A:A,BD_VACANTES!E:E,""),"")</f>
        <v/>
      </c>
      <c r="K223" s="5"/>
      <c r="L223" s="5"/>
      <c r="M223" s="5"/>
      <c r="N223" s="5"/>
      <c r="O223" s="5"/>
      <c r="P223" s="6"/>
      <c r="Q223" s="8" t="str">
        <f t="shared" ca="1" si="7"/>
        <v/>
      </c>
      <c r="R223" s="7"/>
      <c r="S223" s="5"/>
    </row>
    <row r="224" spans="1:19">
      <c r="A224" s="5" t="str">
        <f t="shared" si="6"/>
        <v/>
      </c>
      <c r="B224" s="6"/>
      <c r="C224" s="5"/>
      <c r="D224" s="5"/>
      <c r="E224" s="5"/>
      <c r="F224" s="5"/>
      <c r="G224" s="5"/>
      <c r="H224" s="5"/>
      <c r="I224" s="5" t="str">
        <f ca="1">IFERROR(_xludf.XLOOKUP(H224,BD_VACANTES!A:A,BD_VACANTES!C:C,""),"")</f>
        <v/>
      </c>
      <c r="J224" s="5" t="str">
        <f ca="1">IFERROR(_xludf.XLOOKUP(H224,BD_VACANTES!A:A,BD_VACANTES!E:E,""),"")</f>
        <v/>
      </c>
      <c r="K224" s="5"/>
      <c r="L224" s="5"/>
      <c r="M224" s="5"/>
      <c r="N224" s="5"/>
      <c r="O224" s="5"/>
      <c r="P224" s="6"/>
      <c r="Q224" s="8" t="str">
        <f t="shared" ca="1" si="7"/>
        <v/>
      </c>
      <c r="R224" s="7"/>
      <c r="S224" s="5"/>
    </row>
    <row r="225" spans="1:19">
      <c r="A225" s="5" t="str">
        <f t="shared" si="6"/>
        <v/>
      </c>
      <c r="B225" s="6"/>
      <c r="C225" s="5"/>
      <c r="D225" s="5"/>
      <c r="E225" s="5"/>
      <c r="F225" s="5"/>
      <c r="G225" s="5"/>
      <c r="H225" s="5"/>
      <c r="I225" s="5" t="str">
        <f ca="1">IFERROR(_xludf.XLOOKUP(H225,BD_VACANTES!A:A,BD_VACANTES!C:C,""),"")</f>
        <v/>
      </c>
      <c r="J225" s="5" t="str">
        <f ca="1">IFERROR(_xludf.XLOOKUP(H225,BD_VACANTES!A:A,BD_VACANTES!E:E,""),"")</f>
        <v/>
      </c>
      <c r="K225" s="5"/>
      <c r="L225" s="5"/>
      <c r="M225" s="5"/>
      <c r="N225" s="5"/>
      <c r="O225" s="5"/>
      <c r="P225" s="6"/>
      <c r="Q225" s="8" t="str">
        <f t="shared" ca="1" si="7"/>
        <v/>
      </c>
      <c r="R225" s="7"/>
      <c r="S225" s="5"/>
    </row>
    <row r="226" spans="1:19">
      <c r="A226" s="5" t="str">
        <f t="shared" si="6"/>
        <v/>
      </c>
      <c r="B226" s="6"/>
      <c r="C226" s="5"/>
      <c r="D226" s="5"/>
      <c r="E226" s="5"/>
      <c r="F226" s="5"/>
      <c r="G226" s="5"/>
      <c r="H226" s="5"/>
      <c r="I226" s="5" t="str">
        <f ca="1">IFERROR(_xludf.XLOOKUP(H226,BD_VACANTES!A:A,BD_VACANTES!C:C,""),"")</f>
        <v/>
      </c>
      <c r="J226" s="5" t="str">
        <f ca="1">IFERROR(_xludf.XLOOKUP(H226,BD_VACANTES!A:A,BD_VACANTES!E:E,""),"")</f>
        <v/>
      </c>
      <c r="K226" s="5"/>
      <c r="L226" s="5"/>
      <c r="M226" s="5"/>
      <c r="N226" s="5"/>
      <c r="O226" s="5"/>
      <c r="P226" s="6"/>
      <c r="Q226" s="8" t="str">
        <f t="shared" ca="1" si="7"/>
        <v/>
      </c>
      <c r="R226" s="7"/>
      <c r="S226" s="5"/>
    </row>
    <row r="227" spans="1:19">
      <c r="A227" s="5" t="str">
        <f t="shared" si="6"/>
        <v/>
      </c>
      <c r="B227" s="6"/>
      <c r="C227" s="5"/>
      <c r="D227" s="5"/>
      <c r="E227" s="5"/>
      <c r="F227" s="5"/>
      <c r="G227" s="5"/>
      <c r="H227" s="5"/>
      <c r="I227" s="5" t="str">
        <f ca="1">IFERROR(_xludf.XLOOKUP(H227,BD_VACANTES!A:A,BD_VACANTES!C:C,""),"")</f>
        <v/>
      </c>
      <c r="J227" s="5" t="str">
        <f ca="1">IFERROR(_xludf.XLOOKUP(H227,BD_VACANTES!A:A,BD_VACANTES!E:E,""),"")</f>
        <v/>
      </c>
      <c r="K227" s="5"/>
      <c r="L227" s="5"/>
      <c r="M227" s="5"/>
      <c r="N227" s="5"/>
      <c r="O227" s="5"/>
      <c r="P227" s="6"/>
      <c r="Q227" s="8" t="str">
        <f t="shared" ca="1" si="7"/>
        <v/>
      </c>
      <c r="R227" s="7"/>
      <c r="S227" s="5"/>
    </row>
    <row r="228" spans="1:19">
      <c r="A228" s="5" t="str">
        <f t="shared" si="6"/>
        <v/>
      </c>
      <c r="B228" s="6"/>
      <c r="C228" s="5"/>
      <c r="D228" s="5"/>
      <c r="E228" s="5"/>
      <c r="F228" s="5"/>
      <c r="G228" s="5"/>
      <c r="H228" s="5"/>
      <c r="I228" s="5" t="str">
        <f ca="1">IFERROR(_xludf.XLOOKUP(H228,BD_VACANTES!A:A,BD_VACANTES!C:C,""),"")</f>
        <v/>
      </c>
      <c r="J228" s="5" t="str">
        <f ca="1">IFERROR(_xludf.XLOOKUP(H228,BD_VACANTES!A:A,BD_VACANTES!E:E,""),"")</f>
        <v/>
      </c>
      <c r="K228" s="5"/>
      <c r="L228" s="5"/>
      <c r="M228" s="5"/>
      <c r="N228" s="5"/>
      <c r="O228" s="5"/>
      <c r="P228" s="6"/>
      <c r="Q228" s="8" t="str">
        <f t="shared" ca="1" si="7"/>
        <v/>
      </c>
      <c r="R228" s="7"/>
      <c r="S228" s="5"/>
    </row>
    <row r="229" spans="1:19">
      <c r="A229" s="5" t="str">
        <f t="shared" si="6"/>
        <v/>
      </c>
      <c r="B229" s="6"/>
      <c r="C229" s="5"/>
      <c r="D229" s="5"/>
      <c r="E229" s="5"/>
      <c r="F229" s="5"/>
      <c r="G229" s="5"/>
      <c r="H229" s="5"/>
      <c r="I229" s="5" t="str">
        <f ca="1">IFERROR(_xludf.XLOOKUP(H229,BD_VACANTES!A:A,BD_VACANTES!C:C,""),"")</f>
        <v/>
      </c>
      <c r="J229" s="5" t="str">
        <f ca="1">IFERROR(_xludf.XLOOKUP(H229,BD_VACANTES!A:A,BD_VACANTES!E:E,""),"")</f>
        <v/>
      </c>
      <c r="K229" s="5"/>
      <c r="L229" s="5"/>
      <c r="M229" s="5"/>
      <c r="N229" s="5"/>
      <c r="O229" s="5"/>
      <c r="P229" s="6"/>
      <c r="Q229" s="8" t="str">
        <f t="shared" ca="1" si="7"/>
        <v/>
      </c>
      <c r="R229" s="7"/>
      <c r="S229" s="5"/>
    </row>
    <row r="230" spans="1:19">
      <c r="A230" s="5" t="str">
        <f t="shared" si="6"/>
        <v/>
      </c>
      <c r="B230" s="6"/>
      <c r="C230" s="5"/>
      <c r="D230" s="5"/>
      <c r="E230" s="5"/>
      <c r="F230" s="5"/>
      <c r="G230" s="5"/>
      <c r="H230" s="5"/>
      <c r="I230" s="5" t="str">
        <f ca="1">IFERROR(_xludf.XLOOKUP(H230,BD_VACANTES!A:A,BD_VACANTES!C:C,""),"")</f>
        <v/>
      </c>
      <c r="J230" s="5" t="str">
        <f ca="1">IFERROR(_xludf.XLOOKUP(H230,BD_VACANTES!A:A,BD_VACANTES!E:E,""),"")</f>
        <v/>
      </c>
      <c r="K230" s="5"/>
      <c r="L230" s="5"/>
      <c r="M230" s="5"/>
      <c r="N230" s="5"/>
      <c r="O230" s="5"/>
      <c r="P230" s="6"/>
      <c r="Q230" s="8" t="str">
        <f t="shared" ca="1" si="7"/>
        <v/>
      </c>
      <c r="R230" s="7"/>
      <c r="S230" s="5"/>
    </row>
    <row r="231" spans="1:19">
      <c r="A231" s="5" t="str">
        <f t="shared" si="6"/>
        <v/>
      </c>
      <c r="B231" s="6"/>
      <c r="C231" s="5"/>
      <c r="D231" s="5"/>
      <c r="E231" s="5"/>
      <c r="F231" s="5"/>
      <c r="G231" s="5"/>
      <c r="H231" s="5"/>
      <c r="I231" s="5" t="str">
        <f ca="1">IFERROR(_xludf.XLOOKUP(H231,BD_VACANTES!A:A,BD_VACANTES!C:C,""),"")</f>
        <v/>
      </c>
      <c r="J231" s="5" t="str">
        <f ca="1">IFERROR(_xludf.XLOOKUP(H231,BD_VACANTES!A:A,BD_VACANTES!E:E,""),"")</f>
        <v/>
      </c>
      <c r="K231" s="5"/>
      <c r="L231" s="5"/>
      <c r="M231" s="5"/>
      <c r="N231" s="5"/>
      <c r="O231" s="5"/>
      <c r="P231" s="6"/>
      <c r="Q231" s="8" t="str">
        <f t="shared" ca="1" si="7"/>
        <v/>
      </c>
      <c r="R231" s="7"/>
      <c r="S231" s="5"/>
    </row>
    <row r="232" spans="1:19">
      <c r="A232" s="5" t="str">
        <f t="shared" si="6"/>
        <v/>
      </c>
      <c r="B232" s="6"/>
      <c r="C232" s="5"/>
      <c r="D232" s="5"/>
      <c r="E232" s="5"/>
      <c r="F232" s="5"/>
      <c r="G232" s="5"/>
      <c r="H232" s="5"/>
      <c r="I232" s="5" t="str">
        <f ca="1">IFERROR(_xludf.XLOOKUP(H232,BD_VACANTES!A:A,BD_VACANTES!C:C,""),"")</f>
        <v/>
      </c>
      <c r="J232" s="5" t="str">
        <f ca="1">IFERROR(_xludf.XLOOKUP(H232,BD_VACANTES!A:A,BD_VACANTES!E:E,""),"")</f>
        <v/>
      </c>
      <c r="K232" s="5"/>
      <c r="L232" s="5"/>
      <c r="M232" s="5"/>
      <c r="N232" s="5"/>
      <c r="O232" s="5"/>
      <c r="P232" s="6"/>
      <c r="Q232" s="8" t="str">
        <f t="shared" ca="1" si="7"/>
        <v/>
      </c>
      <c r="R232" s="7"/>
      <c r="S232" s="5"/>
    </row>
    <row r="233" spans="1:19">
      <c r="A233" s="5" t="str">
        <f t="shared" si="6"/>
        <v/>
      </c>
      <c r="B233" s="6"/>
      <c r="C233" s="5"/>
      <c r="D233" s="5"/>
      <c r="E233" s="5"/>
      <c r="F233" s="5"/>
      <c r="G233" s="5"/>
      <c r="H233" s="5"/>
      <c r="I233" s="5" t="str">
        <f ca="1">IFERROR(_xludf.XLOOKUP(H233,BD_VACANTES!A:A,BD_VACANTES!C:C,""),"")</f>
        <v/>
      </c>
      <c r="J233" s="5" t="str">
        <f ca="1">IFERROR(_xludf.XLOOKUP(H233,BD_VACANTES!A:A,BD_VACANTES!E:E,""),"")</f>
        <v/>
      </c>
      <c r="K233" s="5"/>
      <c r="L233" s="5"/>
      <c r="M233" s="5"/>
      <c r="N233" s="5"/>
      <c r="O233" s="5"/>
      <c r="P233" s="6"/>
      <c r="Q233" s="8" t="str">
        <f t="shared" ca="1" si="7"/>
        <v/>
      </c>
      <c r="R233" s="7"/>
      <c r="S233" s="5"/>
    </row>
    <row r="234" spans="1:19">
      <c r="A234" s="5" t="str">
        <f t="shared" si="6"/>
        <v/>
      </c>
      <c r="B234" s="6"/>
      <c r="C234" s="5"/>
      <c r="D234" s="5"/>
      <c r="E234" s="5"/>
      <c r="F234" s="5"/>
      <c r="G234" s="5"/>
      <c r="H234" s="5"/>
      <c r="I234" s="5" t="str">
        <f ca="1">IFERROR(_xludf.XLOOKUP(H234,BD_VACANTES!A:A,BD_VACANTES!C:C,""),"")</f>
        <v/>
      </c>
      <c r="J234" s="5" t="str">
        <f ca="1">IFERROR(_xludf.XLOOKUP(H234,BD_VACANTES!A:A,BD_VACANTES!E:E,""),"")</f>
        <v/>
      </c>
      <c r="K234" s="5"/>
      <c r="L234" s="5"/>
      <c r="M234" s="5"/>
      <c r="N234" s="5"/>
      <c r="O234" s="5"/>
      <c r="P234" s="6"/>
      <c r="Q234" s="8" t="str">
        <f t="shared" ca="1" si="7"/>
        <v/>
      </c>
      <c r="R234" s="7"/>
      <c r="S234" s="5"/>
    </row>
    <row r="235" spans="1:19">
      <c r="A235" s="5" t="str">
        <f t="shared" si="6"/>
        <v/>
      </c>
      <c r="B235" s="6"/>
      <c r="C235" s="5"/>
      <c r="D235" s="5"/>
      <c r="E235" s="5"/>
      <c r="F235" s="5"/>
      <c r="G235" s="5"/>
      <c r="H235" s="5"/>
      <c r="I235" s="5" t="str">
        <f ca="1">IFERROR(_xludf.XLOOKUP(H235,BD_VACANTES!A:A,BD_VACANTES!C:C,""),"")</f>
        <v/>
      </c>
      <c r="J235" s="5" t="str">
        <f ca="1">IFERROR(_xludf.XLOOKUP(H235,BD_VACANTES!A:A,BD_VACANTES!E:E,""),"")</f>
        <v/>
      </c>
      <c r="K235" s="5"/>
      <c r="L235" s="5"/>
      <c r="M235" s="5"/>
      <c r="N235" s="5"/>
      <c r="O235" s="5"/>
      <c r="P235" s="6"/>
      <c r="Q235" s="8" t="str">
        <f t="shared" ca="1" si="7"/>
        <v/>
      </c>
      <c r="R235" s="7"/>
      <c r="S235" s="5"/>
    </row>
    <row r="236" spans="1:19">
      <c r="A236" s="5" t="str">
        <f t="shared" si="6"/>
        <v/>
      </c>
      <c r="B236" s="6"/>
      <c r="C236" s="5"/>
      <c r="D236" s="5"/>
      <c r="E236" s="5"/>
      <c r="F236" s="5"/>
      <c r="G236" s="5"/>
      <c r="H236" s="5"/>
      <c r="I236" s="5" t="str">
        <f ca="1">IFERROR(_xludf.XLOOKUP(H236,BD_VACANTES!A:A,BD_VACANTES!C:C,""),"")</f>
        <v/>
      </c>
      <c r="J236" s="5" t="str">
        <f ca="1">IFERROR(_xludf.XLOOKUP(H236,BD_VACANTES!A:A,BD_VACANTES!E:E,""),"")</f>
        <v/>
      </c>
      <c r="K236" s="5"/>
      <c r="L236" s="5"/>
      <c r="M236" s="5"/>
      <c r="N236" s="5"/>
      <c r="O236" s="5"/>
      <c r="P236" s="6"/>
      <c r="Q236" s="8" t="str">
        <f t="shared" ca="1" si="7"/>
        <v/>
      </c>
      <c r="R236" s="7"/>
      <c r="S236" s="5"/>
    </row>
    <row r="237" spans="1:19">
      <c r="A237" s="5" t="str">
        <f t="shared" si="6"/>
        <v/>
      </c>
      <c r="B237" s="6"/>
      <c r="C237" s="5"/>
      <c r="D237" s="5"/>
      <c r="E237" s="5"/>
      <c r="F237" s="5"/>
      <c r="G237" s="5"/>
      <c r="H237" s="5"/>
      <c r="I237" s="5" t="str">
        <f ca="1">IFERROR(_xludf.XLOOKUP(H237,BD_VACANTES!A:A,BD_VACANTES!C:C,""),"")</f>
        <v/>
      </c>
      <c r="J237" s="5" t="str">
        <f ca="1">IFERROR(_xludf.XLOOKUP(H237,BD_VACANTES!A:A,BD_VACANTES!E:E,""),"")</f>
        <v/>
      </c>
      <c r="K237" s="5"/>
      <c r="L237" s="5"/>
      <c r="M237" s="5"/>
      <c r="N237" s="5"/>
      <c r="O237" s="5"/>
      <c r="P237" s="6"/>
      <c r="Q237" s="8" t="str">
        <f t="shared" ca="1" si="7"/>
        <v/>
      </c>
      <c r="R237" s="7"/>
      <c r="S237" s="5"/>
    </row>
    <row r="238" spans="1:19">
      <c r="A238" s="5" t="str">
        <f t="shared" si="6"/>
        <v/>
      </c>
      <c r="B238" s="6"/>
      <c r="C238" s="5"/>
      <c r="D238" s="5"/>
      <c r="E238" s="5"/>
      <c r="F238" s="5"/>
      <c r="G238" s="5"/>
      <c r="H238" s="5"/>
      <c r="I238" s="5" t="str">
        <f ca="1">IFERROR(_xludf.XLOOKUP(H238,BD_VACANTES!A:A,BD_VACANTES!C:C,""),"")</f>
        <v/>
      </c>
      <c r="J238" s="5" t="str">
        <f ca="1">IFERROR(_xludf.XLOOKUP(H238,BD_VACANTES!A:A,BD_VACANTES!E:E,""),"")</f>
        <v/>
      </c>
      <c r="K238" s="5"/>
      <c r="L238" s="5"/>
      <c r="M238" s="5"/>
      <c r="N238" s="5"/>
      <c r="O238" s="5"/>
      <c r="P238" s="6"/>
      <c r="Q238" s="8" t="str">
        <f t="shared" ca="1" si="7"/>
        <v/>
      </c>
      <c r="R238" s="7"/>
      <c r="S238" s="5"/>
    </row>
    <row r="239" spans="1:19">
      <c r="A239" s="5" t="str">
        <f t="shared" si="6"/>
        <v/>
      </c>
      <c r="B239" s="6"/>
      <c r="C239" s="5"/>
      <c r="D239" s="5"/>
      <c r="E239" s="5"/>
      <c r="F239" s="5"/>
      <c r="G239" s="5"/>
      <c r="H239" s="5"/>
      <c r="I239" s="5" t="str">
        <f ca="1">IFERROR(_xludf.XLOOKUP(H239,BD_VACANTES!A:A,BD_VACANTES!C:C,""),"")</f>
        <v/>
      </c>
      <c r="J239" s="5" t="str">
        <f ca="1">IFERROR(_xludf.XLOOKUP(H239,BD_VACANTES!A:A,BD_VACANTES!E:E,""),"")</f>
        <v/>
      </c>
      <c r="K239" s="5"/>
      <c r="L239" s="5"/>
      <c r="M239" s="5"/>
      <c r="N239" s="5"/>
      <c r="O239" s="5"/>
      <c r="P239" s="6"/>
      <c r="Q239" s="8" t="str">
        <f t="shared" ca="1" si="7"/>
        <v/>
      </c>
      <c r="R239" s="7"/>
      <c r="S239" s="5"/>
    </row>
    <row r="240" spans="1:19">
      <c r="A240" s="5" t="str">
        <f t="shared" si="6"/>
        <v/>
      </c>
      <c r="B240" s="6"/>
      <c r="C240" s="5"/>
      <c r="D240" s="5"/>
      <c r="E240" s="5"/>
      <c r="F240" s="5"/>
      <c r="G240" s="5"/>
      <c r="H240" s="5"/>
      <c r="I240" s="5" t="str">
        <f ca="1">IFERROR(_xludf.XLOOKUP(H240,BD_VACANTES!A:A,BD_VACANTES!C:C,""),"")</f>
        <v/>
      </c>
      <c r="J240" s="5" t="str">
        <f ca="1">IFERROR(_xludf.XLOOKUP(H240,BD_VACANTES!A:A,BD_VACANTES!E:E,""),"")</f>
        <v/>
      </c>
      <c r="K240" s="5"/>
      <c r="L240" s="5"/>
      <c r="M240" s="5"/>
      <c r="N240" s="5"/>
      <c r="O240" s="5"/>
      <c r="P240" s="6"/>
      <c r="Q240" s="8" t="str">
        <f t="shared" ca="1" si="7"/>
        <v/>
      </c>
      <c r="R240" s="7"/>
      <c r="S240" s="5"/>
    </row>
    <row r="241" spans="1:19">
      <c r="A241" s="5" t="str">
        <f t="shared" si="6"/>
        <v/>
      </c>
      <c r="B241" s="6"/>
      <c r="C241" s="5"/>
      <c r="D241" s="5"/>
      <c r="E241" s="5"/>
      <c r="F241" s="5"/>
      <c r="G241" s="5"/>
      <c r="H241" s="5"/>
      <c r="I241" s="5" t="str">
        <f ca="1">IFERROR(_xludf.XLOOKUP(H241,BD_VACANTES!A:A,BD_VACANTES!C:C,""),"")</f>
        <v/>
      </c>
      <c r="J241" s="5" t="str">
        <f ca="1">IFERROR(_xludf.XLOOKUP(H241,BD_VACANTES!A:A,BD_VACANTES!E:E,""),"")</f>
        <v/>
      </c>
      <c r="K241" s="5"/>
      <c r="L241" s="5"/>
      <c r="M241" s="5"/>
      <c r="N241" s="5"/>
      <c r="O241" s="5"/>
      <c r="P241" s="6"/>
      <c r="Q241" s="8" t="str">
        <f t="shared" ca="1" si="7"/>
        <v/>
      </c>
      <c r="R241" s="7"/>
      <c r="S241" s="5"/>
    </row>
    <row r="242" spans="1:19">
      <c r="A242" s="5" t="str">
        <f t="shared" si="6"/>
        <v/>
      </c>
      <c r="B242" s="6"/>
      <c r="C242" s="5"/>
      <c r="D242" s="5"/>
      <c r="E242" s="5"/>
      <c r="F242" s="5"/>
      <c r="G242" s="5"/>
      <c r="H242" s="5"/>
      <c r="I242" s="5" t="str">
        <f ca="1">IFERROR(_xludf.XLOOKUP(H242,BD_VACANTES!A:A,BD_VACANTES!C:C,""),"")</f>
        <v/>
      </c>
      <c r="J242" s="5" t="str">
        <f ca="1">IFERROR(_xludf.XLOOKUP(H242,BD_VACANTES!A:A,BD_VACANTES!E:E,""),"")</f>
        <v/>
      </c>
      <c r="K242" s="5"/>
      <c r="L242" s="5"/>
      <c r="M242" s="5"/>
      <c r="N242" s="5"/>
      <c r="O242" s="5"/>
      <c r="P242" s="6"/>
      <c r="Q242" s="8" t="str">
        <f t="shared" ca="1" si="7"/>
        <v/>
      </c>
      <c r="R242" s="7"/>
      <c r="S242" s="5"/>
    </row>
    <row r="243" spans="1:19">
      <c r="A243" s="5" t="str">
        <f t="shared" si="6"/>
        <v/>
      </c>
      <c r="B243" s="6"/>
      <c r="C243" s="5"/>
      <c r="D243" s="5"/>
      <c r="E243" s="5"/>
      <c r="F243" s="5"/>
      <c r="G243" s="5"/>
      <c r="H243" s="5"/>
      <c r="I243" s="5" t="str">
        <f ca="1">IFERROR(_xludf.XLOOKUP(H243,BD_VACANTES!A:A,BD_VACANTES!C:C,""),"")</f>
        <v/>
      </c>
      <c r="J243" s="5" t="str">
        <f ca="1">IFERROR(_xludf.XLOOKUP(H243,BD_VACANTES!A:A,BD_VACANTES!E:E,""),"")</f>
        <v/>
      </c>
      <c r="K243" s="5"/>
      <c r="L243" s="5"/>
      <c r="M243" s="5"/>
      <c r="N243" s="5"/>
      <c r="O243" s="5"/>
      <c r="P243" s="6"/>
      <c r="Q243" s="8" t="str">
        <f t="shared" ca="1" si="7"/>
        <v/>
      </c>
      <c r="R243" s="7"/>
      <c r="S243" s="5"/>
    </row>
    <row r="244" spans="1:19">
      <c r="A244" s="5" t="str">
        <f t="shared" si="6"/>
        <v/>
      </c>
      <c r="B244" s="6"/>
      <c r="C244" s="5"/>
      <c r="D244" s="5"/>
      <c r="E244" s="5"/>
      <c r="F244" s="5"/>
      <c r="G244" s="5"/>
      <c r="H244" s="5"/>
      <c r="I244" s="5" t="str">
        <f ca="1">IFERROR(_xludf.XLOOKUP(H244,BD_VACANTES!A:A,BD_VACANTES!C:C,""),"")</f>
        <v/>
      </c>
      <c r="J244" s="5" t="str">
        <f ca="1">IFERROR(_xludf.XLOOKUP(H244,BD_VACANTES!A:A,BD_VACANTES!E:E,""),"")</f>
        <v/>
      </c>
      <c r="K244" s="5"/>
      <c r="L244" s="5"/>
      <c r="M244" s="5"/>
      <c r="N244" s="5"/>
      <c r="O244" s="5"/>
      <c r="P244" s="6"/>
      <c r="Q244" s="8" t="str">
        <f t="shared" ca="1" si="7"/>
        <v/>
      </c>
      <c r="R244" s="7"/>
      <c r="S244" s="5"/>
    </row>
    <row r="245" spans="1:19">
      <c r="A245" s="5" t="str">
        <f t="shared" si="6"/>
        <v/>
      </c>
      <c r="B245" s="6"/>
      <c r="C245" s="5"/>
      <c r="D245" s="5"/>
      <c r="E245" s="5"/>
      <c r="F245" s="5"/>
      <c r="G245" s="5"/>
      <c r="H245" s="5"/>
      <c r="I245" s="5" t="str">
        <f ca="1">IFERROR(_xludf.XLOOKUP(H245,BD_VACANTES!A:A,BD_VACANTES!C:C,""),"")</f>
        <v/>
      </c>
      <c r="J245" s="5" t="str">
        <f ca="1">IFERROR(_xludf.XLOOKUP(H245,BD_VACANTES!A:A,BD_VACANTES!E:E,""),"")</f>
        <v/>
      </c>
      <c r="K245" s="5"/>
      <c r="L245" s="5"/>
      <c r="M245" s="5"/>
      <c r="N245" s="5"/>
      <c r="O245" s="5"/>
      <c r="P245" s="6"/>
      <c r="Q245" s="8" t="str">
        <f t="shared" ca="1" si="7"/>
        <v/>
      </c>
      <c r="R245" s="7"/>
      <c r="S245" s="5"/>
    </row>
    <row r="246" spans="1:19">
      <c r="A246" s="5" t="str">
        <f t="shared" si="6"/>
        <v/>
      </c>
      <c r="B246" s="6"/>
      <c r="C246" s="5"/>
      <c r="D246" s="5"/>
      <c r="E246" s="5"/>
      <c r="F246" s="5"/>
      <c r="G246" s="5"/>
      <c r="H246" s="5"/>
      <c r="I246" s="5" t="str">
        <f ca="1">IFERROR(_xludf.XLOOKUP(H246,BD_VACANTES!A:A,BD_VACANTES!C:C,""),"")</f>
        <v/>
      </c>
      <c r="J246" s="5" t="str">
        <f ca="1">IFERROR(_xludf.XLOOKUP(H246,BD_VACANTES!A:A,BD_VACANTES!E:E,""),"")</f>
        <v/>
      </c>
      <c r="K246" s="5"/>
      <c r="L246" s="5"/>
      <c r="M246" s="5"/>
      <c r="N246" s="5"/>
      <c r="O246" s="5"/>
      <c r="P246" s="6"/>
      <c r="Q246" s="8" t="str">
        <f t="shared" ca="1" si="7"/>
        <v/>
      </c>
      <c r="R246" s="7"/>
      <c r="S246" s="5"/>
    </row>
    <row r="247" spans="1:19">
      <c r="A247" s="5" t="str">
        <f t="shared" si="6"/>
        <v/>
      </c>
      <c r="B247" s="6"/>
      <c r="C247" s="5"/>
      <c r="D247" s="5"/>
      <c r="E247" s="5"/>
      <c r="F247" s="5"/>
      <c r="G247" s="5"/>
      <c r="H247" s="5"/>
      <c r="I247" s="5" t="str">
        <f ca="1">IFERROR(_xludf.XLOOKUP(H247,BD_VACANTES!A:A,BD_VACANTES!C:C,""),"")</f>
        <v/>
      </c>
      <c r="J247" s="5" t="str">
        <f ca="1">IFERROR(_xludf.XLOOKUP(H247,BD_VACANTES!A:A,BD_VACANTES!E:E,""),"")</f>
        <v/>
      </c>
      <c r="K247" s="5"/>
      <c r="L247" s="5"/>
      <c r="M247" s="5"/>
      <c r="N247" s="5"/>
      <c r="O247" s="5"/>
      <c r="P247" s="6"/>
      <c r="Q247" s="8" t="str">
        <f t="shared" ca="1" si="7"/>
        <v/>
      </c>
      <c r="R247" s="7"/>
      <c r="S247" s="5"/>
    </row>
    <row r="248" spans="1:19">
      <c r="A248" s="5" t="str">
        <f t="shared" si="6"/>
        <v/>
      </c>
      <c r="B248" s="6"/>
      <c r="C248" s="5"/>
      <c r="D248" s="5"/>
      <c r="E248" s="5"/>
      <c r="F248" s="5"/>
      <c r="G248" s="5"/>
      <c r="H248" s="5"/>
      <c r="I248" s="5" t="str">
        <f ca="1">IFERROR(_xludf.XLOOKUP(H248,BD_VACANTES!A:A,BD_VACANTES!C:C,""),"")</f>
        <v/>
      </c>
      <c r="J248" s="5" t="str">
        <f ca="1">IFERROR(_xludf.XLOOKUP(H248,BD_VACANTES!A:A,BD_VACANTES!E:E,""),"")</f>
        <v/>
      </c>
      <c r="K248" s="5"/>
      <c r="L248" s="5"/>
      <c r="M248" s="5"/>
      <c r="N248" s="5"/>
      <c r="O248" s="5"/>
      <c r="P248" s="6"/>
      <c r="Q248" s="8" t="str">
        <f t="shared" ca="1" si="7"/>
        <v/>
      </c>
      <c r="R248" s="7"/>
      <c r="S248" s="5"/>
    </row>
    <row r="249" spans="1:19">
      <c r="A249" s="5" t="str">
        <f t="shared" si="6"/>
        <v/>
      </c>
      <c r="B249" s="6"/>
      <c r="C249" s="5"/>
      <c r="D249" s="5"/>
      <c r="E249" s="5"/>
      <c r="F249" s="5"/>
      <c r="G249" s="5"/>
      <c r="H249" s="5"/>
      <c r="I249" s="5" t="str">
        <f ca="1">IFERROR(_xludf.XLOOKUP(H249,BD_VACANTES!A:A,BD_VACANTES!C:C,""),"")</f>
        <v/>
      </c>
      <c r="J249" s="5" t="str">
        <f ca="1">IFERROR(_xludf.XLOOKUP(H249,BD_VACANTES!A:A,BD_VACANTES!E:E,""),"")</f>
        <v/>
      </c>
      <c r="K249" s="5"/>
      <c r="L249" s="5"/>
      <c r="M249" s="5"/>
      <c r="N249" s="5"/>
      <c r="O249" s="5"/>
      <c r="P249" s="6"/>
      <c r="Q249" s="8" t="str">
        <f t="shared" ca="1" si="7"/>
        <v/>
      </c>
      <c r="R249" s="7"/>
      <c r="S249" s="5"/>
    </row>
    <row r="250" spans="1:19">
      <c r="A250" s="5" t="str">
        <f t="shared" si="6"/>
        <v/>
      </c>
      <c r="B250" s="6"/>
      <c r="C250" s="5"/>
      <c r="D250" s="5"/>
      <c r="E250" s="5"/>
      <c r="F250" s="5"/>
      <c r="G250" s="5"/>
      <c r="H250" s="5"/>
      <c r="I250" s="5" t="str">
        <f ca="1">IFERROR(_xludf.XLOOKUP(H250,BD_VACANTES!A:A,BD_VACANTES!C:C,""),"")</f>
        <v/>
      </c>
      <c r="J250" s="5" t="str">
        <f ca="1">IFERROR(_xludf.XLOOKUP(H250,BD_VACANTES!A:A,BD_VACANTES!E:E,""),"")</f>
        <v/>
      </c>
      <c r="K250" s="5"/>
      <c r="L250" s="5"/>
      <c r="M250" s="5"/>
      <c r="N250" s="5"/>
      <c r="O250" s="5"/>
      <c r="P250" s="6"/>
      <c r="Q250" s="8" t="str">
        <f t="shared" ca="1" si="7"/>
        <v/>
      </c>
      <c r="R250" s="7"/>
      <c r="S250" s="5"/>
    </row>
    <row r="251" spans="1:19">
      <c r="A251" s="5" t="str">
        <f t="shared" si="6"/>
        <v/>
      </c>
      <c r="B251" s="6"/>
      <c r="C251" s="5"/>
      <c r="D251" s="5"/>
      <c r="E251" s="5"/>
      <c r="F251" s="5"/>
      <c r="G251" s="5"/>
      <c r="H251" s="5"/>
      <c r="I251" s="5" t="str">
        <f ca="1">IFERROR(_xludf.XLOOKUP(H251,BD_VACANTES!A:A,BD_VACANTES!C:C,""),"")</f>
        <v/>
      </c>
      <c r="J251" s="5" t="str">
        <f ca="1">IFERROR(_xludf.XLOOKUP(H251,BD_VACANTES!A:A,BD_VACANTES!E:E,""),"")</f>
        <v/>
      </c>
      <c r="K251" s="5"/>
      <c r="L251" s="5"/>
      <c r="M251" s="5"/>
      <c r="N251" s="5"/>
      <c r="O251" s="5"/>
      <c r="P251" s="6"/>
      <c r="Q251" s="8" t="str">
        <f t="shared" ca="1" si="7"/>
        <v/>
      </c>
      <c r="R251" s="7"/>
      <c r="S251" s="5"/>
    </row>
    <row r="252" spans="1:19">
      <c r="A252" s="5" t="str">
        <f t="shared" si="6"/>
        <v/>
      </c>
      <c r="B252" s="6"/>
      <c r="C252" s="5"/>
      <c r="D252" s="5"/>
      <c r="E252" s="5"/>
      <c r="F252" s="5"/>
      <c r="G252" s="5"/>
      <c r="H252" s="5"/>
      <c r="I252" s="5" t="str">
        <f ca="1">IFERROR(_xludf.XLOOKUP(H252,BD_VACANTES!A:A,BD_VACANTES!C:C,""),"")</f>
        <v/>
      </c>
      <c r="J252" s="5" t="str">
        <f ca="1">IFERROR(_xludf.XLOOKUP(H252,BD_VACANTES!A:A,BD_VACANTES!E:E,""),"")</f>
        <v/>
      </c>
      <c r="K252" s="5"/>
      <c r="L252" s="5"/>
      <c r="M252" s="5"/>
      <c r="N252" s="5"/>
      <c r="O252" s="5"/>
      <c r="P252" s="6"/>
      <c r="Q252" s="8" t="str">
        <f t="shared" ca="1" si="7"/>
        <v/>
      </c>
      <c r="R252" s="7"/>
      <c r="S252" s="5"/>
    </row>
    <row r="253" spans="1:19">
      <c r="A253" s="5" t="str">
        <f t="shared" si="6"/>
        <v/>
      </c>
      <c r="B253" s="6"/>
      <c r="C253" s="5"/>
      <c r="D253" s="5"/>
      <c r="E253" s="5"/>
      <c r="F253" s="5"/>
      <c r="G253" s="5"/>
      <c r="H253" s="5"/>
      <c r="I253" s="5" t="str">
        <f ca="1">IFERROR(_xludf.XLOOKUP(H253,BD_VACANTES!A:A,BD_VACANTES!C:C,""),"")</f>
        <v/>
      </c>
      <c r="J253" s="5" t="str">
        <f ca="1">IFERROR(_xludf.XLOOKUP(H253,BD_VACANTES!A:A,BD_VACANTES!E:E,""),"")</f>
        <v/>
      </c>
      <c r="K253" s="5"/>
      <c r="L253" s="5"/>
      <c r="M253" s="5"/>
      <c r="N253" s="5"/>
      <c r="O253" s="5"/>
      <c r="P253" s="6"/>
      <c r="Q253" s="8" t="str">
        <f t="shared" ca="1" si="7"/>
        <v/>
      </c>
      <c r="R253" s="7"/>
      <c r="S253" s="5"/>
    </row>
    <row r="254" spans="1:19">
      <c r="A254" s="5" t="str">
        <f t="shared" si="6"/>
        <v/>
      </c>
      <c r="B254" s="6"/>
      <c r="C254" s="5"/>
      <c r="D254" s="5"/>
      <c r="E254" s="5"/>
      <c r="F254" s="5"/>
      <c r="G254" s="5"/>
      <c r="H254" s="5"/>
      <c r="I254" s="5" t="str">
        <f ca="1">IFERROR(_xludf.XLOOKUP(H254,BD_VACANTES!A:A,BD_VACANTES!C:C,""),"")</f>
        <v/>
      </c>
      <c r="J254" s="5" t="str">
        <f ca="1">IFERROR(_xludf.XLOOKUP(H254,BD_VACANTES!A:A,BD_VACANTES!E:E,""),"")</f>
        <v/>
      </c>
      <c r="K254" s="5"/>
      <c r="L254" s="5"/>
      <c r="M254" s="5"/>
      <c r="N254" s="5"/>
      <c r="O254" s="5"/>
      <c r="P254" s="6"/>
      <c r="Q254" s="8" t="str">
        <f t="shared" ca="1" si="7"/>
        <v/>
      </c>
      <c r="R254" s="7"/>
      <c r="S254" s="5"/>
    </row>
    <row r="255" spans="1:19">
      <c r="A255" s="5" t="str">
        <f t="shared" si="6"/>
        <v/>
      </c>
      <c r="B255" s="6"/>
      <c r="C255" s="5"/>
      <c r="D255" s="5"/>
      <c r="E255" s="5"/>
      <c r="F255" s="5"/>
      <c r="G255" s="5"/>
      <c r="H255" s="5"/>
      <c r="I255" s="5" t="str">
        <f ca="1">IFERROR(_xludf.XLOOKUP(H255,BD_VACANTES!A:A,BD_VACANTES!C:C,""),"")</f>
        <v/>
      </c>
      <c r="J255" s="5" t="str">
        <f ca="1">IFERROR(_xludf.XLOOKUP(H255,BD_VACANTES!A:A,BD_VACANTES!E:E,""),"")</f>
        <v/>
      </c>
      <c r="K255" s="5"/>
      <c r="L255" s="5"/>
      <c r="M255" s="5"/>
      <c r="N255" s="5"/>
      <c r="O255" s="5"/>
      <c r="P255" s="6"/>
      <c r="Q255" s="8" t="str">
        <f t="shared" ca="1" si="7"/>
        <v/>
      </c>
      <c r="R255" s="7"/>
      <c r="S255" s="5"/>
    </row>
    <row r="256" spans="1:19">
      <c r="A256" s="5" t="str">
        <f t="shared" si="6"/>
        <v/>
      </c>
      <c r="B256" s="6"/>
      <c r="C256" s="5"/>
      <c r="D256" s="5"/>
      <c r="E256" s="5"/>
      <c r="F256" s="5"/>
      <c r="G256" s="5"/>
      <c r="H256" s="5"/>
      <c r="I256" s="5" t="str">
        <f ca="1">IFERROR(_xludf.XLOOKUP(H256,BD_VACANTES!A:A,BD_VACANTES!C:C,""),"")</f>
        <v/>
      </c>
      <c r="J256" s="5" t="str">
        <f ca="1">IFERROR(_xludf.XLOOKUP(H256,BD_VACANTES!A:A,BD_VACANTES!E:E,""),"")</f>
        <v/>
      </c>
      <c r="K256" s="5"/>
      <c r="L256" s="5"/>
      <c r="M256" s="5"/>
      <c r="N256" s="5"/>
      <c r="O256" s="5"/>
      <c r="P256" s="6"/>
      <c r="Q256" s="8" t="str">
        <f t="shared" ca="1" si="7"/>
        <v/>
      </c>
      <c r="R256" s="7"/>
      <c r="S256" s="5"/>
    </row>
    <row r="257" spans="1:19">
      <c r="A257" s="5" t="str">
        <f t="shared" si="6"/>
        <v/>
      </c>
      <c r="B257" s="6"/>
      <c r="C257" s="5"/>
      <c r="D257" s="5"/>
      <c r="E257" s="5"/>
      <c r="F257" s="5"/>
      <c r="G257" s="5"/>
      <c r="H257" s="5"/>
      <c r="I257" s="5" t="str">
        <f ca="1">IFERROR(_xludf.XLOOKUP(H257,BD_VACANTES!A:A,BD_VACANTES!C:C,""),"")</f>
        <v/>
      </c>
      <c r="J257" s="5" t="str">
        <f ca="1">IFERROR(_xludf.XLOOKUP(H257,BD_VACANTES!A:A,BD_VACANTES!E:E,""),"")</f>
        <v/>
      </c>
      <c r="K257" s="5"/>
      <c r="L257" s="5"/>
      <c r="M257" s="5"/>
      <c r="N257" s="5"/>
      <c r="O257" s="5"/>
      <c r="P257" s="6"/>
      <c r="Q257" s="8" t="str">
        <f t="shared" ca="1" si="7"/>
        <v/>
      </c>
      <c r="R257" s="7"/>
      <c r="S257" s="5"/>
    </row>
    <row r="258" spans="1:19">
      <c r="A258" s="5" t="str">
        <f t="shared" ref="A258:A321" si="8">IF(C258&lt;&gt;"","CAN-"&amp;TEXT(ROW()-1,"0000"),"")</f>
        <v/>
      </c>
      <c r="B258" s="6"/>
      <c r="C258" s="5"/>
      <c r="D258" s="5"/>
      <c r="E258" s="5"/>
      <c r="F258" s="5"/>
      <c r="G258" s="5"/>
      <c r="H258" s="5"/>
      <c r="I258" s="5" t="str">
        <f ca="1">IFERROR(_xludf.XLOOKUP(H258,BD_VACANTES!A:A,BD_VACANTES!C:C,""),"")</f>
        <v/>
      </c>
      <c r="J258" s="5" t="str">
        <f ca="1">IFERROR(_xludf.XLOOKUP(H258,BD_VACANTES!A:A,BD_VACANTES!E:E,""),"")</f>
        <v/>
      </c>
      <c r="K258" s="5"/>
      <c r="L258" s="5"/>
      <c r="M258" s="5"/>
      <c r="N258" s="5"/>
      <c r="O258" s="5"/>
      <c r="P258" s="6"/>
      <c r="Q258" s="8" t="str">
        <f t="shared" ref="Q258:Q321" ca="1" si="9">IF(B258="","",IF(P258&lt;&gt;"",P258-B258,TODAY()-B258))</f>
        <v/>
      </c>
      <c r="R258" s="7"/>
      <c r="S258" s="5"/>
    </row>
    <row r="259" spans="1:19">
      <c r="A259" s="5" t="str">
        <f t="shared" si="8"/>
        <v/>
      </c>
      <c r="B259" s="6"/>
      <c r="C259" s="5"/>
      <c r="D259" s="5"/>
      <c r="E259" s="5"/>
      <c r="F259" s="5"/>
      <c r="G259" s="5"/>
      <c r="H259" s="5"/>
      <c r="I259" s="5" t="str">
        <f ca="1">IFERROR(_xludf.XLOOKUP(H259,BD_VACANTES!A:A,BD_VACANTES!C:C,""),"")</f>
        <v/>
      </c>
      <c r="J259" s="5" t="str">
        <f ca="1">IFERROR(_xludf.XLOOKUP(H259,BD_VACANTES!A:A,BD_VACANTES!E:E,""),"")</f>
        <v/>
      </c>
      <c r="K259" s="5"/>
      <c r="L259" s="5"/>
      <c r="M259" s="5"/>
      <c r="N259" s="5"/>
      <c r="O259" s="5"/>
      <c r="P259" s="6"/>
      <c r="Q259" s="8" t="str">
        <f t="shared" ca="1" si="9"/>
        <v/>
      </c>
      <c r="R259" s="7"/>
      <c r="S259" s="5"/>
    </row>
    <row r="260" spans="1:19">
      <c r="A260" s="5" t="str">
        <f t="shared" si="8"/>
        <v/>
      </c>
      <c r="B260" s="6"/>
      <c r="C260" s="5"/>
      <c r="D260" s="5"/>
      <c r="E260" s="5"/>
      <c r="F260" s="5"/>
      <c r="G260" s="5"/>
      <c r="H260" s="5"/>
      <c r="I260" s="5" t="str">
        <f ca="1">IFERROR(_xludf.XLOOKUP(H260,BD_VACANTES!A:A,BD_VACANTES!C:C,""),"")</f>
        <v/>
      </c>
      <c r="J260" s="5" t="str">
        <f ca="1">IFERROR(_xludf.XLOOKUP(H260,BD_VACANTES!A:A,BD_VACANTES!E:E,""),"")</f>
        <v/>
      </c>
      <c r="K260" s="5"/>
      <c r="L260" s="5"/>
      <c r="M260" s="5"/>
      <c r="N260" s="5"/>
      <c r="O260" s="5"/>
      <c r="P260" s="6"/>
      <c r="Q260" s="8" t="str">
        <f t="shared" ca="1" si="9"/>
        <v/>
      </c>
      <c r="R260" s="7"/>
      <c r="S260" s="5"/>
    </row>
    <row r="261" spans="1:19">
      <c r="A261" s="5" t="str">
        <f t="shared" si="8"/>
        <v/>
      </c>
      <c r="B261" s="6"/>
      <c r="C261" s="5"/>
      <c r="D261" s="5"/>
      <c r="E261" s="5"/>
      <c r="F261" s="5"/>
      <c r="G261" s="5"/>
      <c r="H261" s="5"/>
      <c r="I261" s="5" t="str">
        <f ca="1">IFERROR(_xludf.XLOOKUP(H261,BD_VACANTES!A:A,BD_VACANTES!C:C,""),"")</f>
        <v/>
      </c>
      <c r="J261" s="5" t="str">
        <f ca="1">IFERROR(_xludf.XLOOKUP(H261,BD_VACANTES!A:A,BD_VACANTES!E:E,""),"")</f>
        <v/>
      </c>
      <c r="K261" s="5"/>
      <c r="L261" s="5"/>
      <c r="M261" s="5"/>
      <c r="N261" s="5"/>
      <c r="O261" s="5"/>
      <c r="P261" s="6"/>
      <c r="Q261" s="8" t="str">
        <f t="shared" ca="1" si="9"/>
        <v/>
      </c>
      <c r="R261" s="7"/>
      <c r="S261" s="5"/>
    </row>
    <row r="262" spans="1:19">
      <c r="A262" s="5" t="str">
        <f t="shared" si="8"/>
        <v/>
      </c>
      <c r="B262" s="6"/>
      <c r="C262" s="5"/>
      <c r="D262" s="5"/>
      <c r="E262" s="5"/>
      <c r="F262" s="5"/>
      <c r="G262" s="5"/>
      <c r="H262" s="5"/>
      <c r="I262" s="5" t="str">
        <f ca="1">IFERROR(_xludf.XLOOKUP(H262,BD_VACANTES!A:A,BD_VACANTES!C:C,""),"")</f>
        <v/>
      </c>
      <c r="J262" s="5" t="str">
        <f ca="1">IFERROR(_xludf.XLOOKUP(H262,BD_VACANTES!A:A,BD_VACANTES!E:E,""),"")</f>
        <v/>
      </c>
      <c r="K262" s="5"/>
      <c r="L262" s="5"/>
      <c r="M262" s="5"/>
      <c r="N262" s="5"/>
      <c r="O262" s="5"/>
      <c r="P262" s="6"/>
      <c r="Q262" s="8" t="str">
        <f t="shared" ca="1" si="9"/>
        <v/>
      </c>
      <c r="R262" s="7"/>
      <c r="S262" s="5"/>
    </row>
    <row r="263" spans="1:19">
      <c r="A263" s="5" t="str">
        <f t="shared" si="8"/>
        <v/>
      </c>
      <c r="B263" s="6"/>
      <c r="C263" s="5"/>
      <c r="D263" s="5"/>
      <c r="E263" s="5"/>
      <c r="F263" s="5"/>
      <c r="G263" s="5"/>
      <c r="H263" s="5"/>
      <c r="I263" s="5" t="str">
        <f ca="1">IFERROR(_xludf.XLOOKUP(H263,BD_VACANTES!A:A,BD_VACANTES!C:C,""),"")</f>
        <v/>
      </c>
      <c r="J263" s="5" t="str">
        <f ca="1">IFERROR(_xludf.XLOOKUP(H263,BD_VACANTES!A:A,BD_VACANTES!E:E,""),"")</f>
        <v/>
      </c>
      <c r="K263" s="5"/>
      <c r="L263" s="5"/>
      <c r="M263" s="5"/>
      <c r="N263" s="5"/>
      <c r="O263" s="5"/>
      <c r="P263" s="6"/>
      <c r="Q263" s="8" t="str">
        <f t="shared" ca="1" si="9"/>
        <v/>
      </c>
      <c r="R263" s="7"/>
      <c r="S263" s="5"/>
    </row>
    <row r="264" spans="1:19">
      <c r="A264" s="5" t="str">
        <f t="shared" si="8"/>
        <v/>
      </c>
      <c r="B264" s="6"/>
      <c r="C264" s="5"/>
      <c r="D264" s="5"/>
      <c r="E264" s="5"/>
      <c r="F264" s="5"/>
      <c r="G264" s="5"/>
      <c r="H264" s="5"/>
      <c r="I264" s="5" t="str">
        <f ca="1">IFERROR(_xludf.XLOOKUP(H264,BD_VACANTES!A:A,BD_VACANTES!C:C,""),"")</f>
        <v/>
      </c>
      <c r="J264" s="5" t="str">
        <f ca="1">IFERROR(_xludf.XLOOKUP(H264,BD_VACANTES!A:A,BD_VACANTES!E:E,""),"")</f>
        <v/>
      </c>
      <c r="K264" s="5"/>
      <c r="L264" s="5"/>
      <c r="M264" s="5"/>
      <c r="N264" s="5"/>
      <c r="O264" s="5"/>
      <c r="P264" s="6"/>
      <c r="Q264" s="8" t="str">
        <f t="shared" ca="1" si="9"/>
        <v/>
      </c>
      <c r="R264" s="7"/>
      <c r="S264" s="5"/>
    </row>
    <row r="265" spans="1:19">
      <c r="A265" s="5" t="str">
        <f t="shared" si="8"/>
        <v/>
      </c>
      <c r="B265" s="6"/>
      <c r="C265" s="5"/>
      <c r="D265" s="5"/>
      <c r="E265" s="5"/>
      <c r="F265" s="5"/>
      <c r="G265" s="5"/>
      <c r="H265" s="5"/>
      <c r="I265" s="5" t="str">
        <f ca="1">IFERROR(_xludf.XLOOKUP(H265,BD_VACANTES!A:A,BD_VACANTES!C:C,""),"")</f>
        <v/>
      </c>
      <c r="J265" s="5" t="str">
        <f ca="1">IFERROR(_xludf.XLOOKUP(H265,BD_VACANTES!A:A,BD_VACANTES!E:E,""),"")</f>
        <v/>
      </c>
      <c r="K265" s="5"/>
      <c r="L265" s="5"/>
      <c r="M265" s="5"/>
      <c r="N265" s="5"/>
      <c r="O265" s="5"/>
      <c r="P265" s="6"/>
      <c r="Q265" s="8" t="str">
        <f t="shared" ca="1" si="9"/>
        <v/>
      </c>
      <c r="R265" s="7"/>
      <c r="S265" s="5"/>
    </row>
    <row r="266" spans="1:19">
      <c r="A266" s="5" t="str">
        <f t="shared" si="8"/>
        <v/>
      </c>
      <c r="B266" s="6"/>
      <c r="C266" s="5"/>
      <c r="D266" s="5"/>
      <c r="E266" s="5"/>
      <c r="F266" s="5"/>
      <c r="G266" s="5"/>
      <c r="H266" s="5"/>
      <c r="I266" s="5" t="str">
        <f ca="1">IFERROR(_xludf.XLOOKUP(H266,BD_VACANTES!A:A,BD_VACANTES!C:C,""),"")</f>
        <v/>
      </c>
      <c r="J266" s="5" t="str">
        <f ca="1">IFERROR(_xludf.XLOOKUP(H266,BD_VACANTES!A:A,BD_VACANTES!E:E,""),"")</f>
        <v/>
      </c>
      <c r="K266" s="5"/>
      <c r="L266" s="5"/>
      <c r="M266" s="5"/>
      <c r="N266" s="5"/>
      <c r="O266" s="5"/>
      <c r="P266" s="6"/>
      <c r="Q266" s="8" t="str">
        <f t="shared" ca="1" si="9"/>
        <v/>
      </c>
      <c r="R266" s="7"/>
      <c r="S266" s="5"/>
    </row>
    <row r="267" spans="1:19">
      <c r="A267" s="5" t="str">
        <f t="shared" si="8"/>
        <v/>
      </c>
      <c r="B267" s="6"/>
      <c r="C267" s="5"/>
      <c r="D267" s="5"/>
      <c r="E267" s="5"/>
      <c r="F267" s="5"/>
      <c r="G267" s="5"/>
      <c r="H267" s="5"/>
      <c r="I267" s="5" t="str">
        <f ca="1">IFERROR(_xludf.XLOOKUP(H267,BD_VACANTES!A:A,BD_VACANTES!C:C,""),"")</f>
        <v/>
      </c>
      <c r="J267" s="5" t="str">
        <f ca="1">IFERROR(_xludf.XLOOKUP(H267,BD_VACANTES!A:A,BD_VACANTES!E:E,""),"")</f>
        <v/>
      </c>
      <c r="K267" s="5"/>
      <c r="L267" s="5"/>
      <c r="M267" s="5"/>
      <c r="N267" s="5"/>
      <c r="O267" s="5"/>
      <c r="P267" s="6"/>
      <c r="Q267" s="8" t="str">
        <f t="shared" ca="1" si="9"/>
        <v/>
      </c>
      <c r="R267" s="7"/>
      <c r="S267" s="5"/>
    </row>
    <row r="268" spans="1:19">
      <c r="A268" s="5" t="str">
        <f t="shared" si="8"/>
        <v/>
      </c>
      <c r="B268" s="6"/>
      <c r="C268" s="5"/>
      <c r="D268" s="5"/>
      <c r="E268" s="5"/>
      <c r="F268" s="5"/>
      <c r="G268" s="5"/>
      <c r="H268" s="5"/>
      <c r="I268" s="5" t="str">
        <f ca="1">IFERROR(_xludf.XLOOKUP(H268,BD_VACANTES!A:A,BD_VACANTES!C:C,""),"")</f>
        <v/>
      </c>
      <c r="J268" s="5" t="str">
        <f ca="1">IFERROR(_xludf.XLOOKUP(H268,BD_VACANTES!A:A,BD_VACANTES!E:E,""),"")</f>
        <v/>
      </c>
      <c r="K268" s="5"/>
      <c r="L268" s="5"/>
      <c r="M268" s="5"/>
      <c r="N268" s="5"/>
      <c r="O268" s="5"/>
      <c r="P268" s="6"/>
      <c r="Q268" s="8" t="str">
        <f t="shared" ca="1" si="9"/>
        <v/>
      </c>
      <c r="R268" s="7"/>
      <c r="S268" s="5"/>
    </row>
    <row r="269" spans="1:19">
      <c r="A269" s="5" t="str">
        <f t="shared" si="8"/>
        <v/>
      </c>
      <c r="B269" s="6"/>
      <c r="C269" s="5"/>
      <c r="D269" s="5"/>
      <c r="E269" s="5"/>
      <c r="F269" s="5"/>
      <c r="G269" s="5"/>
      <c r="H269" s="5"/>
      <c r="I269" s="5" t="str">
        <f ca="1">IFERROR(_xludf.XLOOKUP(H269,BD_VACANTES!A:A,BD_VACANTES!C:C,""),"")</f>
        <v/>
      </c>
      <c r="J269" s="5" t="str">
        <f ca="1">IFERROR(_xludf.XLOOKUP(H269,BD_VACANTES!A:A,BD_VACANTES!E:E,""),"")</f>
        <v/>
      </c>
      <c r="K269" s="5"/>
      <c r="L269" s="5"/>
      <c r="M269" s="5"/>
      <c r="N269" s="5"/>
      <c r="O269" s="5"/>
      <c r="P269" s="6"/>
      <c r="Q269" s="8" t="str">
        <f t="shared" ca="1" si="9"/>
        <v/>
      </c>
      <c r="R269" s="7"/>
      <c r="S269" s="5"/>
    </row>
    <row r="270" spans="1:19">
      <c r="A270" s="5" t="str">
        <f t="shared" si="8"/>
        <v/>
      </c>
      <c r="B270" s="6"/>
      <c r="C270" s="5"/>
      <c r="D270" s="5"/>
      <c r="E270" s="5"/>
      <c r="F270" s="5"/>
      <c r="G270" s="5"/>
      <c r="H270" s="5"/>
      <c r="I270" s="5" t="str">
        <f ca="1">IFERROR(_xludf.XLOOKUP(H270,BD_VACANTES!A:A,BD_VACANTES!C:C,""),"")</f>
        <v/>
      </c>
      <c r="J270" s="5" t="str">
        <f ca="1">IFERROR(_xludf.XLOOKUP(H270,BD_VACANTES!A:A,BD_VACANTES!E:E,""),"")</f>
        <v/>
      </c>
      <c r="K270" s="5"/>
      <c r="L270" s="5"/>
      <c r="M270" s="5"/>
      <c r="N270" s="5"/>
      <c r="O270" s="5"/>
      <c r="P270" s="6"/>
      <c r="Q270" s="8" t="str">
        <f t="shared" ca="1" si="9"/>
        <v/>
      </c>
      <c r="R270" s="7"/>
      <c r="S270" s="5"/>
    </row>
    <row r="271" spans="1:19">
      <c r="A271" s="5" t="str">
        <f t="shared" si="8"/>
        <v/>
      </c>
      <c r="B271" s="6"/>
      <c r="C271" s="5"/>
      <c r="D271" s="5"/>
      <c r="E271" s="5"/>
      <c r="F271" s="5"/>
      <c r="G271" s="5"/>
      <c r="H271" s="5"/>
      <c r="I271" s="5" t="str">
        <f ca="1">IFERROR(_xludf.XLOOKUP(H271,BD_VACANTES!A:A,BD_VACANTES!C:C,""),"")</f>
        <v/>
      </c>
      <c r="J271" s="5" t="str">
        <f ca="1">IFERROR(_xludf.XLOOKUP(H271,BD_VACANTES!A:A,BD_VACANTES!E:E,""),"")</f>
        <v/>
      </c>
      <c r="K271" s="5"/>
      <c r="L271" s="5"/>
      <c r="M271" s="5"/>
      <c r="N271" s="5"/>
      <c r="O271" s="5"/>
      <c r="P271" s="6"/>
      <c r="Q271" s="8" t="str">
        <f t="shared" ca="1" si="9"/>
        <v/>
      </c>
      <c r="R271" s="7"/>
      <c r="S271" s="5"/>
    </row>
    <row r="272" spans="1:19">
      <c r="A272" s="5" t="str">
        <f t="shared" si="8"/>
        <v/>
      </c>
      <c r="B272" s="6"/>
      <c r="C272" s="5"/>
      <c r="D272" s="5"/>
      <c r="E272" s="5"/>
      <c r="F272" s="5"/>
      <c r="G272" s="5"/>
      <c r="H272" s="5"/>
      <c r="I272" s="5" t="str">
        <f ca="1">IFERROR(_xludf.XLOOKUP(H272,BD_VACANTES!A:A,BD_VACANTES!C:C,""),"")</f>
        <v/>
      </c>
      <c r="J272" s="5" t="str">
        <f ca="1">IFERROR(_xludf.XLOOKUP(H272,BD_VACANTES!A:A,BD_VACANTES!E:E,""),"")</f>
        <v/>
      </c>
      <c r="K272" s="5"/>
      <c r="L272" s="5"/>
      <c r="M272" s="5"/>
      <c r="N272" s="5"/>
      <c r="O272" s="5"/>
      <c r="P272" s="6"/>
      <c r="Q272" s="8" t="str">
        <f t="shared" ca="1" si="9"/>
        <v/>
      </c>
      <c r="R272" s="7"/>
      <c r="S272" s="5"/>
    </row>
    <row r="273" spans="1:19">
      <c r="A273" s="5" t="str">
        <f t="shared" si="8"/>
        <v/>
      </c>
      <c r="B273" s="6"/>
      <c r="C273" s="5"/>
      <c r="D273" s="5"/>
      <c r="E273" s="5"/>
      <c r="F273" s="5"/>
      <c r="G273" s="5"/>
      <c r="H273" s="5"/>
      <c r="I273" s="5" t="str">
        <f ca="1">IFERROR(_xludf.XLOOKUP(H273,BD_VACANTES!A:A,BD_VACANTES!C:C,""),"")</f>
        <v/>
      </c>
      <c r="J273" s="5" t="str">
        <f ca="1">IFERROR(_xludf.XLOOKUP(H273,BD_VACANTES!A:A,BD_VACANTES!E:E,""),"")</f>
        <v/>
      </c>
      <c r="K273" s="5"/>
      <c r="L273" s="5"/>
      <c r="M273" s="5"/>
      <c r="N273" s="5"/>
      <c r="O273" s="5"/>
      <c r="P273" s="6"/>
      <c r="Q273" s="8" t="str">
        <f t="shared" ca="1" si="9"/>
        <v/>
      </c>
      <c r="R273" s="7"/>
      <c r="S273" s="5"/>
    </row>
    <row r="274" spans="1:19">
      <c r="A274" s="5" t="str">
        <f t="shared" si="8"/>
        <v/>
      </c>
      <c r="B274" s="6"/>
      <c r="C274" s="5"/>
      <c r="D274" s="5"/>
      <c r="E274" s="5"/>
      <c r="F274" s="5"/>
      <c r="G274" s="5"/>
      <c r="H274" s="5"/>
      <c r="I274" s="5" t="str">
        <f ca="1">IFERROR(_xludf.XLOOKUP(H274,BD_VACANTES!A:A,BD_VACANTES!C:C,""),"")</f>
        <v/>
      </c>
      <c r="J274" s="5" t="str">
        <f ca="1">IFERROR(_xludf.XLOOKUP(H274,BD_VACANTES!A:A,BD_VACANTES!E:E,""),"")</f>
        <v/>
      </c>
      <c r="K274" s="5"/>
      <c r="L274" s="5"/>
      <c r="M274" s="5"/>
      <c r="N274" s="5"/>
      <c r="O274" s="5"/>
      <c r="P274" s="6"/>
      <c r="Q274" s="8" t="str">
        <f t="shared" ca="1" si="9"/>
        <v/>
      </c>
      <c r="R274" s="7"/>
      <c r="S274" s="5"/>
    </row>
    <row r="275" spans="1:19">
      <c r="A275" s="5" t="str">
        <f t="shared" si="8"/>
        <v/>
      </c>
      <c r="B275" s="6"/>
      <c r="C275" s="5"/>
      <c r="D275" s="5"/>
      <c r="E275" s="5"/>
      <c r="F275" s="5"/>
      <c r="G275" s="5"/>
      <c r="H275" s="5"/>
      <c r="I275" s="5" t="str">
        <f ca="1">IFERROR(_xludf.XLOOKUP(H275,BD_VACANTES!A:A,BD_VACANTES!C:C,""),"")</f>
        <v/>
      </c>
      <c r="J275" s="5" t="str">
        <f ca="1">IFERROR(_xludf.XLOOKUP(H275,BD_VACANTES!A:A,BD_VACANTES!E:E,""),"")</f>
        <v/>
      </c>
      <c r="K275" s="5"/>
      <c r="L275" s="5"/>
      <c r="M275" s="5"/>
      <c r="N275" s="5"/>
      <c r="O275" s="5"/>
      <c r="P275" s="6"/>
      <c r="Q275" s="8" t="str">
        <f t="shared" ca="1" si="9"/>
        <v/>
      </c>
      <c r="R275" s="7"/>
      <c r="S275" s="5"/>
    </row>
    <row r="276" spans="1:19">
      <c r="A276" s="5" t="str">
        <f t="shared" si="8"/>
        <v/>
      </c>
      <c r="B276" s="6"/>
      <c r="C276" s="5"/>
      <c r="D276" s="5"/>
      <c r="E276" s="5"/>
      <c r="F276" s="5"/>
      <c r="G276" s="5"/>
      <c r="H276" s="5"/>
      <c r="I276" s="5" t="str">
        <f ca="1">IFERROR(_xludf.XLOOKUP(H276,BD_VACANTES!A:A,BD_VACANTES!C:C,""),"")</f>
        <v/>
      </c>
      <c r="J276" s="5" t="str">
        <f ca="1">IFERROR(_xludf.XLOOKUP(H276,BD_VACANTES!A:A,BD_VACANTES!E:E,""),"")</f>
        <v/>
      </c>
      <c r="K276" s="5"/>
      <c r="L276" s="5"/>
      <c r="M276" s="5"/>
      <c r="N276" s="5"/>
      <c r="O276" s="5"/>
      <c r="P276" s="6"/>
      <c r="Q276" s="8" t="str">
        <f t="shared" ca="1" si="9"/>
        <v/>
      </c>
      <c r="R276" s="7"/>
      <c r="S276" s="5"/>
    </row>
    <row r="277" spans="1:19">
      <c r="A277" s="5" t="str">
        <f t="shared" si="8"/>
        <v/>
      </c>
      <c r="B277" s="6"/>
      <c r="C277" s="5"/>
      <c r="D277" s="5"/>
      <c r="E277" s="5"/>
      <c r="F277" s="5"/>
      <c r="G277" s="5"/>
      <c r="H277" s="5"/>
      <c r="I277" s="5" t="str">
        <f ca="1">IFERROR(_xludf.XLOOKUP(H277,BD_VACANTES!A:A,BD_VACANTES!C:C,""),"")</f>
        <v/>
      </c>
      <c r="J277" s="5" t="str">
        <f ca="1">IFERROR(_xludf.XLOOKUP(H277,BD_VACANTES!A:A,BD_VACANTES!E:E,""),"")</f>
        <v/>
      </c>
      <c r="K277" s="5"/>
      <c r="L277" s="5"/>
      <c r="M277" s="5"/>
      <c r="N277" s="5"/>
      <c r="O277" s="5"/>
      <c r="P277" s="6"/>
      <c r="Q277" s="8" t="str">
        <f t="shared" ca="1" si="9"/>
        <v/>
      </c>
      <c r="R277" s="7"/>
      <c r="S277" s="5"/>
    </row>
    <row r="278" spans="1:19">
      <c r="A278" s="5" t="str">
        <f t="shared" si="8"/>
        <v/>
      </c>
      <c r="B278" s="6"/>
      <c r="C278" s="5"/>
      <c r="D278" s="5"/>
      <c r="E278" s="5"/>
      <c r="F278" s="5"/>
      <c r="G278" s="5"/>
      <c r="H278" s="5"/>
      <c r="I278" s="5" t="str">
        <f ca="1">IFERROR(_xludf.XLOOKUP(H278,BD_VACANTES!A:A,BD_VACANTES!C:C,""),"")</f>
        <v/>
      </c>
      <c r="J278" s="5" t="str">
        <f ca="1">IFERROR(_xludf.XLOOKUP(H278,BD_VACANTES!A:A,BD_VACANTES!E:E,""),"")</f>
        <v/>
      </c>
      <c r="K278" s="5"/>
      <c r="L278" s="5"/>
      <c r="M278" s="5"/>
      <c r="N278" s="5"/>
      <c r="O278" s="5"/>
      <c r="P278" s="6"/>
      <c r="Q278" s="8" t="str">
        <f t="shared" ca="1" si="9"/>
        <v/>
      </c>
      <c r="R278" s="7"/>
      <c r="S278" s="5"/>
    </row>
    <row r="279" spans="1:19">
      <c r="A279" s="5" t="str">
        <f t="shared" si="8"/>
        <v/>
      </c>
      <c r="B279" s="6"/>
      <c r="C279" s="5"/>
      <c r="D279" s="5"/>
      <c r="E279" s="5"/>
      <c r="F279" s="5"/>
      <c r="G279" s="5"/>
      <c r="H279" s="5"/>
      <c r="I279" s="5" t="str">
        <f ca="1">IFERROR(_xludf.XLOOKUP(H279,BD_VACANTES!A:A,BD_VACANTES!C:C,""),"")</f>
        <v/>
      </c>
      <c r="J279" s="5" t="str">
        <f ca="1">IFERROR(_xludf.XLOOKUP(H279,BD_VACANTES!A:A,BD_VACANTES!E:E,""),"")</f>
        <v/>
      </c>
      <c r="K279" s="5"/>
      <c r="L279" s="5"/>
      <c r="M279" s="5"/>
      <c r="N279" s="5"/>
      <c r="O279" s="5"/>
      <c r="P279" s="6"/>
      <c r="Q279" s="8" t="str">
        <f t="shared" ca="1" si="9"/>
        <v/>
      </c>
      <c r="R279" s="7"/>
      <c r="S279" s="5"/>
    </row>
    <row r="280" spans="1:19">
      <c r="A280" s="5" t="str">
        <f t="shared" si="8"/>
        <v/>
      </c>
      <c r="B280" s="6"/>
      <c r="C280" s="5"/>
      <c r="D280" s="5"/>
      <c r="E280" s="5"/>
      <c r="F280" s="5"/>
      <c r="G280" s="5"/>
      <c r="H280" s="5"/>
      <c r="I280" s="5" t="str">
        <f ca="1">IFERROR(_xludf.XLOOKUP(H280,BD_VACANTES!A:A,BD_VACANTES!C:C,""),"")</f>
        <v/>
      </c>
      <c r="J280" s="5" t="str">
        <f ca="1">IFERROR(_xludf.XLOOKUP(H280,BD_VACANTES!A:A,BD_VACANTES!E:E,""),"")</f>
        <v/>
      </c>
      <c r="K280" s="5"/>
      <c r="L280" s="5"/>
      <c r="M280" s="5"/>
      <c r="N280" s="5"/>
      <c r="O280" s="5"/>
      <c r="P280" s="6"/>
      <c r="Q280" s="8" t="str">
        <f t="shared" ca="1" si="9"/>
        <v/>
      </c>
      <c r="R280" s="7"/>
      <c r="S280" s="5"/>
    </row>
    <row r="281" spans="1:19">
      <c r="A281" s="5" t="str">
        <f t="shared" si="8"/>
        <v/>
      </c>
      <c r="B281" s="6"/>
      <c r="C281" s="5"/>
      <c r="D281" s="5"/>
      <c r="E281" s="5"/>
      <c r="F281" s="5"/>
      <c r="G281" s="5"/>
      <c r="H281" s="5"/>
      <c r="I281" s="5" t="str">
        <f ca="1">IFERROR(_xludf.XLOOKUP(H281,BD_VACANTES!A:A,BD_VACANTES!C:C,""),"")</f>
        <v/>
      </c>
      <c r="J281" s="5" t="str">
        <f ca="1">IFERROR(_xludf.XLOOKUP(H281,BD_VACANTES!A:A,BD_VACANTES!E:E,""),"")</f>
        <v/>
      </c>
      <c r="K281" s="5"/>
      <c r="L281" s="5"/>
      <c r="M281" s="5"/>
      <c r="N281" s="5"/>
      <c r="O281" s="5"/>
      <c r="P281" s="6"/>
      <c r="Q281" s="8" t="str">
        <f t="shared" ca="1" si="9"/>
        <v/>
      </c>
      <c r="R281" s="7"/>
      <c r="S281" s="5"/>
    </row>
    <row r="282" spans="1:19">
      <c r="A282" s="5" t="str">
        <f t="shared" si="8"/>
        <v/>
      </c>
      <c r="B282" s="6"/>
      <c r="C282" s="5"/>
      <c r="D282" s="5"/>
      <c r="E282" s="5"/>
      <c r="F282" s="5"/>
      <c r="G282" s="5"/>
      <c r="H282" s="5"/>
      <c r="I282" s="5" t="str">
        <f ca="1">IFERROR(_xludf.XLOOKUP(H282,BD_VACANTES!A:A,BD_VACANTES!C:C,""),"")</f>
        <v/>
      </c>
      <c r="J282" s="5" t="str">
        <f ca="1">IFERROR(_xludf.XLOOKUP(H282,BD_VACANTES!A:A,BD_VACANTES!E:E,""),"")</f>
        <v/>
      </c>
      <c r="K282" s="5"/>
      <c r="L282" s="5"/>
      <c r="M282" s="5"/>
      <c r="N282" s="5"/>
      <c r="O282" s="5"/>
      <c r="P282" s="6"/>
      <c r="Q282" s="8" t="str">
        <f t="shared" ca="1" si="9"/>
        <v/>
      </c>
      <c r="R282" s="7"/>
      <c r="S282" s="5"/>
    </row>
    <row r="283" spans="1:19">
      <c r="A283" s="5" t="str">
        <f t="shared" si="8"/>
        <v/>
      </c>
      <c r="B283" s="6"/>
      <c r="C283" s="5"/>
      <c r="D283" s="5"/>
      <c r="E283" s="5"/>
      <c r="F283" s="5"/>
      <c r="G283" s="5"/>
      <c r="H283" s="5"/>
      <c r="I283" s="5" t="str">
        <f ca="1">IFERROR(_xludf.XLOOKUP(H283,BD_VACANTES!A:A,BD_VACANTES!C:C,""),"")</f>
        <v/>
      </c>
      <c r="J283" s="5" t="str">
        <f ca="1">IFERROR(_xludf.XLOOKUP(H283,BD_VACANTES!A:A,BD_VACANTES!E:E,""),"")</f>
        <v/>
      </c>
      <c r="K283" s="5"/>
      <c r="L283" s="5"/>
      <c r="M283" s="5"/>
      <c r="N283" s="5"/>
      <c r="O283" s="5"/>
      <c r="P283" s="6"/>
      <c r="Q283" s="8" t="str">
        <f t="shared" ca="1" si="9"/>
        <v/>
      </c>
      <c r="R283" s="7"/>
      <c r="S283" s="5"/>
    </row>
    <row r="284" spans="1:19">
      <c r="A284" s="5" t="str">
        <f t="shared" si="8"/>
        <v/>
      </c>
      <c r="B284" s="6"/>
      <c r="C284" s="5"/>
      <c r="D284" s="5"/>
      <c r="E284" s="5"/>
      <c r="F284" s="5"/>
      <c r="G284" s="5"/>
      <c r="H284" s="5"/>
      <c r="I284" s="5" t="str">
        <f ca="1">IFERROR(_xludf.XLOOKUP(H284,BD_VACANTES!A:A,BD_VACANTES!C:C,""),"")</f>
        <v/>
      </c>
      <c r="J284" s="5" t="str">
        <f ca="1">IFERROR(_xludf.XLOOKUP(H284,BD_VACANTES!A:A,BD_VACANTES!E:E,""),"")</f>
        <v/>
      </c>
      <c r="K284" s="5"/>
      <c r="L284" s="5"/>
      <c r="M284" s="5"/>
      <c r="N284" s="5"/>
      <c r="O284" s="5"/>
      <c r="P284" s="6"/>
      <c r="Q284" s="8" t="str">
        <f t="shared" ca="1" si="9"/>
        <v/>
      </c>
      <c r="R284" s="7"/>
      <c r="S284" s="5"/>
    </row>
    <row r="285" spans="1:19">
      <c r="A285" s="5" t="str">
        <f t="shared" si="8"/>
        <v/>
      </c>
      <c r="B285" s="6"/>
      <c r="C285" s="5"/>
      <c r="D285" s="5"/>
      <c r="E285" s="5"/>
      <c r="F285" s="5"/>
      <c r="G285" s="5"/>
      <c r="H285" s="5"/>
      <c r="I285" s="5" t="str">
        <f ca="1">IFERROR(_xludf.XLOOKUP(H285,BD_VACANTES!A:A,BD_VACANTES!C:C,""),"")</f>
        <v/>
      </c>
      <c r="J285" s="5" t="str">
        <f ca="1">IFERROR(_xludf.XLOOKUP(H285,BD_VACANTES!A:A,BD_VACANTES!E:E,""),"")</f>
        <v/>
      </c>
      <c r="K285" s="5"/>
      <c r="L285" s="5"/>
      <c r="M285" s="5"/>
      <c r="N285" s="5"/>
      <c r="O285" s="5"/>
      <c r="P285" s="6"/>
      <c r="Q285" s="8" t="str">
        <f t="shared" ca="1" si="9"/>
        <v/>
      </c>
      <c r="R285" s="7"/>
      <c r="S285" s="5"/>
    </row>
    <row r="286" spans="1:19">
      <c r="A286" s="5" t="str">
        <f t="shared" si="8"/>
        <v/>
      </c>
      <c r="B286" s="6"/>
      <c r="C286" s="5"/>
      <c r="D286" s="5"/>
      <c r="E286" s="5"/>
      <c r="F286" s="5"/>
      <c r="G286" s="5"/>
      <c r="H286" s="5"/>
      <c r="I286" s="5" t="str">
        <f ca="1">IFERROR(_xludf.XLOOKUP(H286,BD_VACANTES!A:A,BD_VACANTES!C:C,""),"")</f>
        <v/>
      </c>
      <c r="J286" s="5" t="str">
        <f ca="1">IFERROR(_xludf.XLOOKUP(H286,BD_VACANTES!A:A,BD_VACANTES!E:E,""),"")</f>
        <v/>
      </c>
      <c r="K286" s="5"/>
      <c r="L286" s="5"/>
      <c r="M286" s="5"/>
      <c r="N286" s="5"/>
      <c r="O286" s="5"/>
      <c r="P286" s="6"/>
      <c r="Q286" s="8" t="str">
        <f t="shared" ca="1" si="9"/>
        <v/>
      </c>
      <c r="R286" s="7"/>
      <c r="S286" s="5"/>
    </row>
    <row r="287" spans="1:19">
      <c r="A287" s="5" t="str">
        <f t="shared" si="8"/>
        <v/>
      </c>
      <c r="B287" s="6"/>
      <c r="C287" s="5"/>
      <c r="D287" s="5"/>
      <c r="E287" s="5"/>
      <c r="F287" s="5"/>
      <c r="G287" s="5"/>
      <c r="H287" s="5"/>
      <c r="I287" s="5" t="str">
        <f ca="1">IFERROR(_xludf.XLOOKUP(H287,BD_VACANTES!A:A,BD_VACANTES!C:C,""),"")</f>
        <v/>
      </c>
      <c r="J287" s="5" t="str">
        <f ca="1">IFERROR(_xludf.XLOOKUP(H287,BD_VACANTES!A:A,BD_VACANTES!E:E,""),"")</f>
        <v/>
      </c>
      <c r="K287" s="5"/>
      <c r="L287" s="5"/>
      <c r="M287" s="5"/>
      <c r="N287" s="5"/>
      <c r="O287" s="5"/>
      <c r="P287" s="6"/>
      <c r="Q287" s="8" t="str">
        <f t="shared" ca="1" si="9"/>
        <v/>
      </c>
      <c r="R287" s="7"/>
      <c r="S287" s="5"/>
    </row>
    <row r="288" spans="1:19">
      <c r="A288" s="5" t="str">
        <f t="shared" si="8"/>
        <v/>
      </c>
      <c r="B288" s="6"/>
      <c r="C288" s="5"/>
      <c r="D288" s="5"/>
      <c r="E288" s="5"/>
      <c r="F288" s="5"/>
      <c r="G288" s="5"/>
      <c r="H288" s="5"/>
      <c r="I288" s="5" t="str">
        <f ca="1">IFERROR(_xludf.XLOOKUP(H288,BD_VACANTES!A:A,BD_VACANTES!C:C,""),"")</f>
        <v/>
      </c>
      <c r="J288" s="5" t="str">
        <f ca="1">IFERROR(_xludf.XLOOKUP(H288,BD_VACANTES!A:A,BD_VACANTES!E:E,""),"")</f>
        <v/>
      </c>
      <c r="K288" s="5"/>
      <c r="L288" s="5"/>
      <c r="M288" s="5"/>
      <c r="N288" s="5"/>
      <c r="O288" s="5"/>
      <c r="P288" s="6"/>
      <c r="Q288" s="8" t="str">
        <f t="shared" ca="1" si="9"/>
        <v/>
      </c>
      <c r="R288" s="7"/>
      <c r="S288" s="5"/>
    </row>
    <row r="289" spans="1:19">
      <c r="A289" s="5" t="str">
        <f t="shared" si="8"/>
        <v/>
      </c>
      <c r="B289" s="6"/>
      <c r="C289" s="5"/>
      <c r="D289" s="5"/>
      <c r="E289" s="5"/>
      <c r="F289" s="5"/>
      <c r="G289" s="5"/>
      <c r="H289" s="5"/>
      <c r="I289" s="5" t="str">
        <f ca="1">IFERROR(_xludf.XLOOKUP(H289,BD_VACANTES!A:A,BD_VACANTES!C:C,""),"")</f>
        <v/>
      </c>
      <c r="J289" s="5" t="str">
        <f ca="1">IFERROR(_xludf.XLOOKUP(H289,BD_VACANTES!A:A,BD_VACANTES!E:E,""),"")</f>
        <v/>
      </c>
      <c r="K289" s="5"/>
      <c r="L289" s="5"/>
      <c r="M289" s="5"/>
      <c r="N289" s="5"/>
      <c r="O289" s="5"/>
      <c r="P289" s="6"/>
      <c r="Q289" s="8" t="str">
        <f t="shared" ca="1" si="9"/>
        <v/>
      </c>
      <c r="R289" s="7"/>
      <c r="S289" s="5"/>
    </row>
    <row r="290" spans="1:19">
      <c r="A290" s="5" t="str">
        <f t="shared" si="8"/>
        <v/>
      </c>
      <c r="B290" s="6"/>
      <c r="C290" s="5"/>
      <c r="D290" s="5"/>
      <c r="E290" s="5"/>
      <c r="F290" s="5"/>
      <c r="G290" s="5"/>
      <c r="H290" s="5"/>
      <c r="I290" s="5" t="str">
        <f ca="1">IFERROR(_xludf.XLOOKUP(H290,BD_VACANTES!A:A,BD_VACANTES!C:C,""),"")</f>
        <v/>
      </c>
      <c r="J290" s="5" t="str">
        <f ca="1">IFERROR(_xludf.XLOOKUP(H290,BD_VACANTES!A:A,BD_VACANTES!E:E,""),"")</f>
        <v/>
      </c>
      <c r="K290" s="5"/>
      <c r="L290" s="5"/>
      <c r="M290" s="5"/>
      <c r="N290" s="5"/>
      <c r="O290" s="5"/>
      <c r="P290" s="6"/>
      <c r="Q290" s="8" t="str">
        <f t="shared" ca="1" si="9"/>
        <v/>
      </c>
      <c r="R290" s="7"/>
      <c r="S290" s="5"/>
    </row>
    <row r="291" spans="1:19">
      <c r="A291" s="5" t="str">
        <f t="shared" si="8"/>
        <v/>
      </c>
      <c r="B291" s="6"/>
      <c r="C291" s="5"/>
      <c r="D291" s="5"/>
      <c r="E291" s="5"/>
      <c r="F291" s="5"/>
      <c r="G291" s="5"/>
      <c r="H291" s="5"/>
      <c r="I291" s="5" t="str">
        <f ca="1">IFERROR(_xludf.XLOOKUP(H291,BD_VACANTES!A:A,BD_VACANTES!C:C,""),"")</f>
        <v/>
      </c>
      <c r="J291" s="5" t="str">
        <f ca="1">IFERROR(_xludf.XLOOKUP(H291,BD_VACANTES!A:A,BD_VACANTES!E:E,""),"")</f>
        <v/>
      </c>
      <c r="K291" s="5"/>
      <c r="L291" s="5"/>
      <c r="M291" s="5"/>
      <c r="N291" s="5"/>
      <c r="O291" s="5"/>
      <c r="P291" s="6"/>
      <c r="Q291" s="8" t="str">
        <f t="shared" ca="1" si="9"/>
        <v/>
      </c>
      <c r="R291" s="7"/>
      <c r="S291" s="5"/>
    </row>
    <row r="292" spans="1:19">
      <c r="A292" s="5" t="str">
        <f t="shared" si="8"/>
        <v/>
      </c>
      <c r="B292" s="6"/>
      <c r="C292" s="5"/>
      <c r="D292" s="5"/>
      <c r="E292" s="5"/>
      <c r="F292" s="5"/>
      <c r="G292" s="5"/>
      <c r="H292" s="5"/>
      <c r="I292" s="5" t="str">
        <f ca="1">IFERROR(_xludf.XLOOKUP(H292,BD_VACANTES!A:A,BD_VACANTES!C:C,""),"")</f>
        <v/>
      </c>
      <c r="J292" s="5" t="str">
        <f ca="1">IFERROR(_xludf.XLOOKUP(H292,BD_VACANTES!A:A,BD_VACANTES!E:E,""),"")</f>
        <v/>
      </c>
      <c r="K292" s="5"/>
      <c r="L292" s="5"/>
      <c r="M292" s="5"/>
      <c r="N292" s="5"/>
      <c r="O292" s="5"/>
      <c r="P292" s="6"/>
      <c r="Q292" s="8" t="str">
        <f t="shared" ca="1" si="9"/>
        <v/>
      </c>
      <c r="R292" s="7"/>
      <c r="S292" s="5"/>
    </row>
    <row r="293" spans="1:19">
      <c r="A293" s="5" t="str">
        <f t="shared" si="8"/>
        <v/>
      </c>
      <c r="B293" s="6"/>
      <c r="C293" s="5"/>
      <c r="D293" s="5"/>
      <c r="E293" s="5"/>
      <c r="F293" s="5"/>
      <c r="G293" s="5"/>
      <c r="H293" s="5"/>
      <c r="I293" s="5" t="str">
        <f ca="1">IFERROR(_xludf.XLOOKUP(H293,BD_VACANTES!A:A,BD_VACANTES!C:C,""),"")</f>
        <v/>
      </c>
      <c r="J293" s="5" t="str">
        <f ca="1">IFERROR(_xludf.XLOOKUP(H293,BD_VACANTES!A:A,BD_VACANTES!E:E,""),"")</f>
        <v/>
      </c>
      <c r="K293" s="5"/>
      <c r="L293" s="5"/>
      <c r="M293" s="5"/>
      <c r="N293" s="5"/>
      <c r="O293" s="5"/>
      <c r="P293" s="6"/>
      <c r="Q293" s="8" t="str">
        <f t="shared" ca="1" si="9"/>
        <v/>
      </c>
      <c r="R293" s="7"/>
      <c r="S293" s="5"/>
    </row>
    <row r="294" spans="1:19">
      <c r="A294" s="5" t="str">
        <f t="shared" si="8"/>
        <v/>
      </c>
      <c r="B294" s="6"/>
      <c r="C294" s="5"/>
      <c r="D294" s="5"/>
      <c r="E294" s="5"/>
      <c r="F294" s="5"/>
      <c r="G294" s="5"/>
      <c r="H294" s="5"/>
      <c r="I294" s="5" t="str">
        <f ca="1">IFERROR(_xludf.XLOOKUP(H294,BD_VACANTES!A:A,BD_VACANTES!C:C,""),"")</f>
        <v/>
      </c>
      <c r="J294" s="5" t="str">
        <f ca="1">IFERROR(_xludf.XLOOKUP(H294,BD_VACANTES!A:A,BD_VACANTES!E:E,""),"")</f>
        <v/>
      </c>
      <c r="K294" s="5"/>
      <c r="L294" s="5"/>
      <c r="M294" s="5"/>
      <c r="N294" s="5"/>
      <c r="O294" s="5"/>
      <c r="P294" s="6"/>
      <c r="Q294" s="8" t="str">
        <f t="shared" ca="1" si="9"/>
        <v/>
      </c>
      <c r="R294" s="7"/>
      <c r="S294" s="5"/>
    </row>
    <row r="295" spans="1:19">
      <c r="A295" s="5" t="str">
        <f t="shared" si="8"/>
        <v/>
      </c>
      <c r="B295" s="6"/>
      <c r="C295" s="5"/>
      <c r="D295" s="5"/>
      <c r="E295" s="5"/>
      <c r="F295" s="5"/>
      <c r="G295" s="5"/>
      <c r="H295" s="5"/>
      <c r="I295" s="5" t="str">
        <f ca="1">IFERROR(_xludf.XLOOKUP(H295,BD_VACANTES!A:A,BD_VACANTES!C:C,""),"")</f>
        <v/>
      </c>
      <c r="J295" s="5" t="str">
        <f ca="1">IFERROR(_xludf.XLOOKUP(H295,BD_VACANTES!A:A,BD_VACANTES!E:E,""),"")</f>
        <v/>
      </c>
      <c r="K295" s="5"/>
      <c r="L295" s="5"/>
      <c r="M295" s="5"/>
      <c r="N295" s="5"/>
      <c r="O295" s="5"/>
      <c r="P295" s="6"/>
      <c r="Q295" s="8" t="str">
        <f t="shared" ca="1" si="9"/>
        <v/>
      </c>
      <c r="R295" s="7"/>
      <c r="S295" s="5"/>
    </row>
    <row r="296" spans="1:19">
      <c r="A296" s="5" t="str">
        <f t="shared" si="8"/>
        <v/>
      </c>
      <c r="B296" s="6"/>
      <c r="C296" s="5"/>
      <c r="D296" s="5"/>
      <c r="E296" s="5"/>
      <c r="F296" s="5"/>
      <c r="G296" s="5"/>
      <c r="H296" s="5"/>
      <c r="I296" s="5" t="str">
        <f ca="1">IFERROR(_xludf.XLOOKUP(H296,BD_VACANTES!A:A,BD_VACANTES!C:C,""),"")</f>
        <v/>
      </c>
      <c r="J296" s="5" t="str">
        <f ca="1">IFERROR(_xludf.XLOOKUP(H296,BD_VACANTES!A:A,BD_VACANTES!E:E,""),"")</f>
        <v/>
      </c>
      <c r="K296" s="5"/>
      <c r="L296" s="5"/>
      <c r="M296" s="5"/>
      <c r="N296" s="5"/>
      <c r="O296" s="5"/>
      <c r="P296" s="6"/>
      <c r="Q296" s="8" t="str">
        <f t="shared" ca="1" si="9"/>
        <v/>
      </c>
      <c r="R296" s="7"/>
      <c r="S296" s="5"/>
    </row>
    <row r="297" spans="1:19">
      <c r="A297" s="5" t="str">
        <f t="shared" si="8"/>
        <v/>
      </c>
      <c r="B297" s="6"/>
      <c r="C297" s="5"/>
      <c r="D297" s="5"/>
      <c r="E297" s="5"/>
      <c r="F297" s="5"/>
      <c r="G297" s="5"/>
      <c r="H297" s="5"/>
      <c r="I297" s="5" t="str">
        <f ca="1">IFERROR(_xludf.XLOOKUP(H297,BD_VACANTES!A:A,BD_VACANTES!C:C,""),"")</f>
        <v/>
      </c>
      <c r="J297" s="5" t="str">
        <f ca="1">IFERROR(_xludf.XLOOKUP(H297,BD_VACANTES!A:A,BD_VACANTES!E:E,""),"")</f>
        <v/>
      </c>
      <c r="K297" s="5"/>
      <c r="L297" s="5"/>
      <c r="M297" s="5"/>
      <c r="N297" s="5"/>
      <c r="O297" s="5"/>
      <c r="P297" s="6"/>
      <c r="Q297" s="8" t="str">
        <f t="shared" ca="1" si="9"/>
        <v/>
      </c>
      <c r="R297" s="7"/>
      <c r="S297" s="5"/>
    </row>
    <row r="298" spans="1:19">
      <c r="A298" s="5" t="str">
        <f t="shared" si="8"/>
        <v/>
      </c>
      <c r="B298" s="6"/>
      <c r="C298" s="5"/>
      <c r="D298" s="5"/>
      <c r="E298" s="5"/>
      <c r="F298" s="5"/>
      <c r="G298" s="5"/>
      <c r="H298" s="5"/>
      <c r="I298" s="5" t="str">
        <f ca="1">IFERROR(_xludf.XLOOKUP(H298,BD_VACANTES!A:A,BD_VACANTES!C:C,""),"")</f>
        <v/>
      </c>
      <c r="J298" s="5" t="str">
        <f ca="1">IFERROR(_xludf.XLOOKUP(H298,BD_VACANTES!A:A,BD_VACANTES!E:E,""),"")</f>
        <v/>
      </c>
      <c r="K298" s="5"/>
      <c r="L298" s="5"/>
      <c r="M298" s="5"/>
      <c r="N298" s="5"/>
      <c r="O298" s="5"/>
      <c r="P298" s="6"/>
      <c r="Q298" s="8" t="str">
        <f t="shared" ca="1" si="9"/>
        <v/>
      </c>
      <c r="R298" s="7"/>
      <c r="S298" s="5"/>
    </row>
    <row r="299" spans="1:19">
      <c r="A299" s="5" t="str">
        <f t="shared" si="8"/>
        <v/>
      </c>
      <c r="B299" s="6"/>
      <c r="C299" s="5"/>
      <c r="D299" s="5"/>
      <c r="E299" s="5"/>
      <c r="F299" s="5"/>
      <c r="G299" s="5"/>
      <c r="H299" s="5"/>
      <c r="I299" s="5" t="str">
        <f ca="1">IFERROR(_xludf.XLOOKUP(H299,BD_VACANTES!A:A,BD_VACANTES!C:C,""),"")</f>
        <v/>
      </c>
      <c r="J299" s="5" t="str">
        <f ca="1">IFERROR(_xludf.XLOOKUP(H299,BD_VACANTES!A:A,BD_VACANTES!E:E,""),"")</f>
        <v/>
      </c>
      <c r="K299" s="5"/>
      <c r="L299" s="5"/>
      <c r="M299" s="5"/>
      <c r="N299" s="5"/>
      <c r="O299" s="5"/>
      <c r="P299" s="6"/>
      <c r="Q299" s="8" t="str">
        <f t="shared" ca="1" si="9"/>
        <v/>
      </c>
      <c r="R299" s="7"/>
      <c r="S299" s="5"/>
    </row>
    <row r="300" spans="1:19">
      <c r="A300" s="5" t="str">
        <f t="shared" si="8"/>
        <v/>
      </c>
      <c r="B300" s="6"/>
      <c r="C300" s="5"/>
      <c r="D300" s="5"/>
      <c r="E300" s="5"/>
      <c r="F300" s="5"/>
      <c r="G300" s="5"/>
      <c r="H300" s="5"/>
      <c r="I300" s="5" t="str">
        <f ca="1">IFERROR(_xludf.XLOOKUP(H300,BD_VACANTES!A:A,BD_VACANTES!C:C,""),"")</f>
        <v/>
      </c>
      <c r="J300" s="5" t="str">
        <f ca="1">IFERROR(_xludf.XLOOKUP(H300,BD_VACANTES!A:A,BD_VACANTES!E:E,""),"")</f>
        <v/>
      </c>
      <c r="K300" s="5"/>
      <c r="L300" s="5"/>
      <c r="M300" s="5"/>
      <c r="N300" s="5"/>
      <c r="O300" s="5"/>
      <c r="P300" s="6"/>
      <c r="Q300" s="8" t="str">
        <f t="shared" ca="1" si="9"/>
        <v/>
      </c>
      <c r="R300" s="7"/>
      <c r="S300" s="5"/>
    </row>
    <row r="301" spans="1:19">
      <c r="A301" s="5" t="str">
        <f t="shared" si="8"/>
        <v/>
      </c>
      <c r="B301" s="6"/>
      <c r="C301" s="5"/>
      <c r="D301" s="5"/>
      <c r="E301" s="5"/>
      <c r="F301" s="5"/>
      <c r="G301" s="5"/>
      <c r="H301" s="5"/>
      <c r="I301" s="5" t="str">
        <f ca="1">IFERROR(_xludf.XLOOKUP(H301,BD_VACANTES!A:A,BD_VACANTES!C:C,""),"")</f>
        <v/>
      </c>
      <c r="J301" s="5" t="str">
        <f ca="1">IFERROR(_xludf.XLOOKUP(H301,BD_VACANTES!A:A,BD_VACANTES!E:E,""),"")</f>
        <v/>
      </c>
      <c r="K301" s="5"/>
      <c r="L301" s="5"/>
      <c r="M301" s="5"/>
      <c r="N301" s="5"/>
      <c r="O301" s="5"/>
      <c r="P301" s="6"/>
      <c r="Q301" s="8" t="str">
        <f t="shared" ca="1" si="9"/>
        <v/>
      </c>
      <c r="R301" s="7"/>
      <c r="S301" s="5"/>
    </row>
    <row r="302" spans="1:19">
      <c r="A302" s="5" t="str">
        <f t="shared" si="8"/>
        <v/>
      </c>
      <c r="B302" s="6"/>
      <c r="C302" s="5"/>
      <c r="D302" s="5"/>
      <c r="E302" s="5"/>
      <c r="F302" s="5"/>
      <c r="G302" s="5"/>
      <c r="H302" s="5"/>
      <c r="I302" s="5" t="str">
        <f ca="1">IFERROR(_xludf.XLOOKUP(H302,BD_VACANTES!A:A,BD_VACANTES!C:C,""),"")</f>
        <v/>
      </c>
      <c r="J302" s="5" t="str">
        <f ca="1">IFERROR(_xludf.XLOOKUP(H302,BD_VACANTES!A:A,BD_VACANTES!E:E,""),"")</f>
        <v/>
      </c>
      <c r="K302" s="5"/>
      <c r="L302" s="5"/>
      <c r="M302" s="5"/>
      <c r="N302" s="5"/>
      <c r="O302" s="5"/>
      <c r="P302" s="6"/>
      <c r="Q302" s="8" t="str">
        <f t="shared" ca="1" si="9"/>
        <v/>
      </c>
      <c r="R302" s="7"/>
      <c r="S302" s="5"/>
    </row>
    <row r="303" spans="1:19">
      <c r="A303" s="5" t="str">
        <f t="shared" si="8"/>
        <v/>
      </c>
      <c r="B303" s="6"/>
      <c r="C303" s="5"/>
      <c r="D303" s="5"/>
      <c r="E303" s="5"/>
      <c r="F303" s="5"/>
      <c r="G303" s="5"/>
      <c r="H303" s="5"/>
      <c r="I303" s="5" t="str">
        <f ca="1">IFERROR(_xludf.XLOOKUP(H303,BD_VACANTES!A:A,BD_VACANTES!C:C,""),"")</f>
        <v/>
      </c>
      <c r="J303" s="5" t="str">
        <f ca="1">IFERROR(_xludf.XLOOKUP(H303,BD_VACANTES!A:A,BD_VACANTES!E:E,""),"")</f>
        <v/>
      </c>
      <c r="K303" s="5"/>
      <c r="L303" s="5"/>
      <c r="M303" s="5"/>
      <c r="N303" s="5"/>
      <c r="O303" s="5"/>
      <c r="P303" s="6"/>
      <c r="Q303" s="8" t="str">
        <f t="shared" ca="1" si="9"/>
        <v/>
      </c>
      <c r="R303" s="7"/>
      <c r="S303" s="5"/>
    </row>
    <row r="304" spans="1:19">
      <c r="A304" s="5" t="str">
        <f t="shared" si="8"/>
        <v/>
      </c>
      <c r="B304" s="6"/>
      <c r="C304" s="5"/>
      <c r="D304" s="5"/>
      <c r="E304" s="5"/>
      <c r="F304" s="5"/>
      <c r="G304" s="5"/>
      <c r="H304" s="5"/>
      <c r="I304" s="5" t="str">
        <f ca="1">IFERROR(_xludf.XLOOKUP(H304,BD_VACANTES!A:A,BD_VACANTES!C:C,""),"")</f>
        <v/>
      </c>
      <c r="J304" s="5" t="str">
        <f ca="1">IFERROR(_xludf.XLOOKUP(H304,BD_VACANTES!A:A,BD_VACANTES!E:E,""),"")</f>
        <v/>
      </c>
      <c r="K304" s="5"/>
      <c r="L304" s="5"/>
      <c r="M304" s="5"/>
      <c r="N304" s="5"/>
      <c r="O304" s="5"/>
      <c r="P304" s="6"/>
      <c r="Q304" s="8" t="str">
        <f t="shared" ca="1" si="9"/>
        <v/>
      </c>
      <c r="R304" s="7"/>
      <c r="S304" s="5"/>
    </row>
    <row r="305" spans="1:19">
      <c r="A305" s="5" t="str">
        <f t="shared" si="8"/>
        <v/>
      </c>
      <c r="B305" s="6"/>
      <c r="C305" s="5"/>
      <c r="D305" s="5"/>
      <c r="E305" s="5"/>
      <c r="F305" s="5"/>
      <c r="G305" s="5"/>
      <c r="H305" s="5"/>
      <c r="I305" s="5" t="str">
        <f ca="1">IFERROR(_xludf.XLOOKUP(H305,BD_VACANTES!A:A,BD_VACANTES!C:C,""),"")</f>
        <v/>
      </c>
      <c r="J305" s="5" t="str">
        <f ca="1">IFERROR(_xludf.XLOOKUP(H305,BD_VACANTES!A:A,BD_VACANTES!E:E,""),"")</f>
        <v/>
      </c>
      <c r="K305" s="5"/>
      <c r="L305" s="5"/>
      <c r="M305" s="5"/>
      <c r="N305" s="5"/>
      <c r="O305" s="5"/>
      <c r="P305" s="6"/>
      <c r="Q305" s="8" t="str">
        <f t="shared" ca="1" si="9"/>
        <v/>
      </c>
      <c r="R305" s="7"/>
      <c r="S305" s="5"/>
    </row>
    <row r="306" spans="1:19">
      <c r="A306" s="5" t="str">
        <f t="shared" si="8"/>
        <v/>
      </c>
      <c r="B306" s="6"/>
      <c r="C306" s="5"/>
      <c r="D306" s="5"/>
      <c r="E306" s="5"/>
      <c r="F306" s="5"/>
      <c r="G306" s="5"/>
      <c r="H306" s="5"/>
      <c r="I306" s="5" t="str">
        <f ca="1">IFERROR(_xludf.XLOOKUP(H306,BD_VACANTES!A:A,BD_VACANTES!C:C,""),"")</f>
        <v/>
      </c>
      <c r="J306" s="5" t="str">
        <f ca="1">IFERROR(_xludf.XLOOKUP(H306,BD_VACANTES!A:A,BD_VACANTES!E:E,""),"")</f>
        <v/>
      </c>
      <c r="K306" s="5"/>
      <c r="L306" s="5"/>
      <c r="M306" s="5"/>
      <c r="N306" s="5"/>
      <c r="O306" s="5"/>
      <c r="P306" s="6"/>
      <c r="Q306" s="8" t="str">
        <f t="shared" ca="1" si="9"/>
        <v/>
      </c>
      <c r="R306" s="7"/>
      <c r="S306" s="5"/>
    </row>
    <row r="307" spans="1:19">
      <c r="A307" s="5" t="str">
        <f t="shared" si="8"/>
        <v/>
      </c>
      <c r="B307" s="6"/>
      <c r="C307" s="5"/>
      <c r="D307" s="5"/>
      <c r="E307" s="5"/>
      <c r="F307" s="5"/>
      <c r="G307" s="5"/>
      <c r="H307" s="5"/>
      <c r="I307" s="5" t="str">
        <f ca="1">IFERROR(_xludf.XLOOKUP(H307,BD_VACANTES!A:A,BD_VACANTES!C:C,""),"")</f>
        <v/>
      </c>
      <c r="J307" s="5" t="str">
        <f ca="1">IFERROR(_xludf.XLOOKUP(H307,BD_VACANTES!A:A,BD_VACANTES!E:E,""),"")</f>
        <v/>
      </c>
      <c r="K307" s="5"/>
      <c r="L307" s="5"/>
      <c r="M307" s="5"/>
      <c r="N307" s="5"/>
      <c r="O307" s="5"/>
      <c r="P307" s="6"/>
      <c r="Q307" s="8" t="str">
        <f t="shared" ca="1" si="9"/>
        <v/>
      </c>
      <c r="R307" s="7"/>
      <c r="S307" s="5"/>
    </row>
    <row r="308" spans="1:19">
      <c r="A308" s="5" t="str">
        <f t="shared" si="8"/>
        <v/>
      </c>
      <c r="B308" s="6"/>
      <c r="C308" s="5"/>
      <c r="D308" s="5"/>
      <c r="E308" s="5"/>
      <c r="F308" s="5"/>
      <c r="G308" s="5"/>
      <c r="H308" s="5"/>
      <c r="I308" s="5" t="str">
        <f ca="1">IFERROR(_xludf.XLOOKUP(H308,BD_VACANTES!A:A,BD_VACANTES!C:C,""),"")</f>
        <v/>
      </c>
      <c r="J308" s="5" t="str">
        <f ca="1">IFERROR(_xludf.XLOOKUP(H308,BD_VACANTES!A:A,BD_VACANTES!E:E,""),"")</f>
        <v/>
      </c>
      <c r="K308" s="5"/>
      <c r="L308" s="5"/>
      <c r="M308" s="5"/>
      <c r="N308" s="5"/>
      <c r="O308" s="5"/>
      <c r="P308" s="6"/>
      <c r="Q308" s="8" t="str">
        <f t="shared" ca="1" si="9"/>
        <v/>
      </c>
      <c r="R308" s="7"/>
      <c r="S308" s="5"/>
    </row>
    <row r="309" spans="1:19">
      <c r="A309" s="5" t="str">
        <f t="shared" si="8"/>
        <v/>
      </c>
      <c r="B309" s="6"/>
      <c r="C309" s="5"/>
      <c r="D309" s="5"/>
      <c r="E309" s="5"/>
      <c r="F309" s="5"/>
      <c r="G309" s="5"/>
      <c r="H309" s="5"/>
      <c r="I309" s="5" t="str">
        <f ca="1">IFERROR(_xludf.XLOOKUP(H309,BD_VACANTES!A:A,BD_VACANTES!C:C,""),"")</f>
        <v/>
      </c>
      <c r="J309" s="5" t="str">
        <f ca="1">IFERROR(_xludf.XLOOKUP(H309,BD_VACANTES!A:A,BD_VACANTES!E:E,""),"")</f>
        <v/>
      </c>
      <c r="K309" s="5"/>
      <c r="L309" s="5"/>
      <c r="M309" s="5"/>
      <c r="N309" s="5"/>
      <c r="O309" s="5"/>
      <c r="P309" s="6"/>
      <c r="Q309" s="8" t="str">
        <f t="shared" ca="1" si="9"/>
        <v/>
      </c>
      <c r="R309" s="7"/>
      <c r="S309" s="5"/>
    </row>
    <row r="310" spans="1:19">
      <c r="A310" s="5" t="str">
        <f t="shared" si="8"/>
        <v/>
      </c>
      <c r="B310" s="6"/>
      <c r="C310" s="5"/>
      <c r="D310" s="5"/>
      <c r="E310" s="5"/>
      <c r="F310" s="5"/>
      <c r="G310" s="5"/>
      <c r="H310" s="5"/>
      <c r="I310" s="5" t="str">
        <f ca="1">IFERROR(_xludf.XLOOKUP(H310,BD_VACANTES!A:A,BD_VACANTES!C:C,""),"")</f>
        <v/>
      </c>
      <c r="J310" s="5" t="str">
        <f ca="1">IFERROR(_xludf.XLOOKUP(H310,BD_VACANTES!A:A,BD_VACANTES!E:E,""),"")</f>
        <v/>
      </c>
      <c r="K310" s="5"/>
      <c r="L310" s="5"/>
      <c r="M310" s="5"/>
      <c r="N310" s="5"/>
      <c r="O310" s="5"/>
      <c r="P310" s="6"/>
      <c r="Q310" s="8" t="str">
        <f t="shared" ca="1" si="9"/>
        <v/>
      </c>
      <c r="R310" s="7"/>
      <c r="S310" s="5"/>
    </row>
    <row r="311" spans="1:19">
      <c r="A311" s="5" t="str">
        <f t="shared" si="8"/>
        <v/>
      </c>
      <c r="B311" s="6"/>
      <c r="C311" s="5"/>
      <c r="D311" s="5"/>
      <c r="E311" s="5"/>
      <c r="F311" s="5"/>
      <c r="G311" s="5"/>
      <c r="H311" s="5"/>
      <c r="I311" s="5" t="str">
        <f ca="1">IFERROR(_xludf.XLOOKUP(H311,BD_VACANTES!A:A,BD_VACANTES!C:C,""),"")</f>
        <v/>
      </c>
      <c r="J311" s="5" t="str">
        <f ca="1">IFERROR(_xludf.XLOOKUP(H311,BD_VACANTES!A:A,BD_VACANTES!E:E,""),"")</f>
        <v/>
      </c>
      <c r="K311" s="5"/>
      <c r="L311" s="5"/>
      <c r="M311" s="5"/>
      <c r="N311" s="5"/>
      <c r="O311" s="5"/>
      <c r="P311" s="6"/>
      <c r="Q311" s="8" t="str">
        <f t="shared" ca="1" si="9"/>
        <v/>
      </c>
      <c r="R311" s="7"/>
      <c r="S311" s="5"/>
    </row>
    <row r="312" spans="1:19">
      <c r="A312" s="5" t="str">
        <f t="shared" si="8"/>
        <v/>
      </c>
      <c r="B312" s="6"/>
      <c r="C312" s="5"/>
      <c r="D312" s="5"/>
      <c r="E312" s="5"/>
      <c r="F312" s="5"/>
      <c r="G312" s="5"/>
      <c r="H312" s="5"/>
      <c r="I312" s="5" t="str">
        <f ca="1">IFERROR(_xludf.XLOOKUP(H312,BD_VACANTES!A:A,BD_VACANTES!C:C,""),"")</f>
        <v/>
      </c>
      <c r="J312" s="5" t="str">
        <f ca="1">IFERROR(_xludf.XLOOKUP(H312,BD_VACANTES!A:A,BD_VACANTES!E:E,""),"")</f>
        <v/>
      </c>
      <c r="K312" s="5"/>
      <c r="L312" s="5"/>
      <c r="M312" s="5"/>
      <c r="N312" s="5"/>
      <c r="O312" s="5"/>
      <c r="P312" s="6"/>
      <c r="Q312" s="8" t="str">
        <f t="shared" ca="1" si="9"/>
        <v/>
      </c>
      <c r="R312" s="7"/>
      <c r="S312" s="5"/>
    </row>
    <row r="313" spans="1:19">
      <c r="A313" s="5" t="str">
        <f t="shared" si="8"/>
        <v/>
      </c>
      <c r="B313" s="6"/>
      <c r="C313" s="5"/>
      <c r="D313" s="5"/>
      <c r="E313" s="5"/>
      <c r="F313" s="5"/>
      <c r="G313" s="5"/>
      <c r="H313" s="5"/>
      <c r="I313" s="5" t="str">
        <f ca="1">IFERROR(_xludf.XLOOKUP(H313,BD_VACANTES!A:A,BD_VACANTES!C:C,""),"")</f>
        <v/>
      </c>
      <c r="J313" s="5" t="str">
        <f ca="1">IFERROR(_xludf.XLOOKUP(H313,BD_VACANTES!A:A,BD_VACANTES!E:E,""),"")</f>
        <v/>
      </c>
      <c r="K313" s="5"/>
      <c r="L313" s="5"/>
      <c r="M313" s="5"/>
      <c r="N313" s="5"/>
      <c r="O313" s="5"/>
      <c r="P313" s="6"/>
      <c r="Q313" s="8" t="str">
        <f t="shared" ca="1" si="9"/>
        <v/>
      </c>
      <c r="R313" s="7"/>
      <c r="S313" s="5"/>
    </row>
    <row r="314" spans="1:19">
      <c r="A314" s="5" t="str">
        <f t="shared" si="8"/>
        <v/>
      </c>
      <c r="B314" s="6"/>
      <c r="C314" s="5"/>
      <c r="D314" s="5"/>
      <c r="E314" s="5"/>
      <c r="F314" s="5"/>
      <c r="G314" s="5"/>
      <c r="H314" s="5"/>
      <c r="I314" s="5" t="str">
        <f ca="1">IFERROR(_xludf.XLOOKUP(H314,BD_VACANTES!A:A,BD_VACANTES!C:C,""),"")</f>
        <v/>
      </c>
      <c r="J314" s="5" t="str">
        <f ca="1">IFERROR(_xludf.XLOOKUP(H314,BD_VACANTES!A:A,BD_VACANTES!E:E,""),"")</f>
        <v/>
      </c>
      <c r="K314" s="5"/>
      <c r="L314" s="5"/>
      <c r="M314" s="5"/>
      <c r="N314" s="5"/>
      <c r="O314" s="5"/>
      <c r="P314" s="6"/>
      <c r="Q314" s="8" t="str">
        <f t="shared" ca="1" si="9"/>
        <v/>
      </c>
      <c r="R314" s="7"/>
      <c r="S314" s="5"/>
    </row>
    <row r="315" spans="1:19">
      <c r="A315" s="5" t="str">
        <f t="shared" si="8"/>
        <v/>
      </c>
      <c r="B315" s="6"/>
      <c r="C315" s="5"/>
      <c r="D315" s="5"/>
      <c r="E315" s="5"/>
      <c r="F315" s="5"/>
      <c r="G315" s="5"/>
      <c r="H315" s="5"/>
      <c r="I315" s="5" t="str">
        <f ca="1">IFERROR(_xludf.XLOOKUP(H315,BD_VACANTES!A:A,BD_VACANTES!C:C,""),"")</f>
        <v/>
      </c>
      <c r="J315" s="5" t="str">
        <f ca="1">IFERROR(_xludf.XLOOKUP(H315,BD_VACANTES!A:A,BD_VACANTES!E:E,""),"")</f>
        <v/>
      </c>
      <c r="K315" s="5"/>
      <c r="L315" s="5"/>
      <c r="M315" s="5"/>
      <c r="N315" s="5"/>
      <c r="O315" s="5"/>
      <c r="P315" s="6"/>
      <c r="Q315" s="8" t="str">
        <f t="shared" ca="1" si="9"/>
        <v/>
      </c>
      <c r="R315" s="7"/>
      <c r="S315" s="5"/>
    </row>
    <row r="316" spans="1:19">
      <c r="A316" s="5" t="str">
        <f t="shared" si="8"/>
        <v/>
      </c>
      <c r="B316" s="6"/>
      <c r="C316" s="5"/>
      <c r="D316" s="5"/>
      <c r="E316" s="5"/>
      <c r="F316" s="5"/>
      <c r="G316" s="5"/>
      <c r="H316" s="5"/>
      <c r="I316" s="5" t="str">
        <f ca="1">IFERROR(_xludf.XLOOKUP(H316,BD_VACANTES!A:A,BD_VACANTES!C:C,""),"")</f>
        <v/>
      </c>
      <c r="J316" s="5" t="str">
        <f ca="1">IFERROR(_xludf.XLOOKUP(H316,BD_VACANTES!A:A,BD_VACANTES!E:E,""),"")</f>
        <v/>
      </c>
      <c r="K316" s="5"/>
      <c r="L316" s="5"/>
      <c r="M316" s="5"/>
      <c r="N316" s="5"/>
      <c r="O316" s="5"/>
      <c r="P316" s="6"/>
      <c r="Q316" s="8" t="str">
        <f t="shared" ca="1" si="9"/>
        <v/>
      </c>
      <c r="R316" s="7"/>
      <c r="S316" s="5"/>
    </row>
    <row r="317" spans="1:19">
      <c r="A317" s="5" t="str">
        <f t="shared" si="8"/>
        <v/>
      </c>
      <c r="B317" s="6"/>
      <c r="C317" s="5"/>
      <c r="D317" s="5"/>
      <c r="E317" s="5"/>
      <c r="F317" s="5"/>
      <c r="G317" s="5"/>
      <c r="H317" s="5"/>
      <c r="I317" s="5" t="str">
        <f ca="1">IFERROR(_xludf.XLOOKUP(H317,BD_VACANTES!A:A,BD_VACANTES!C:C,""),"")</f>
        <v/>
      </c>
      <c r="J317" s="5" t="str">
        <f ca="1">IFERROR(_xludf.XLOOKUP(H317,BD_VACANTES!A:A,BD_VACANTES!E:E,""),"")</f>
        <v/>
      </c>
      <c r="K317" s="5"/>
      <c r="L317" s="5"/>
      <c r="M317" s="5"/>
      <c r="N317" s="5"/>
      <c r="O317" s="5"/>
      <c r="P317" s="6"/>
      <c r="Q317" s="8" t="str">
        <f t="shared" ca="1" si="9"/>
        <v/>
      </c>
      <c r="R317" s="7"/>
      <c r="S317" s="5"/>
    </row>
    <row r="318" spans="1:19">
      <c r="A318" s="5" t="str">
        <f t="shared" si="8"/>
        <v/>
      </c>
      <c r="B318" s="6"/>
      <c r="C318" s="5"/>
      <c r="D318" s="5"/>
      <c r="E318" s="5"/>
      <c r="F318" s="5"/>
      <c r="G318" s="5"/>
      <c r="H318" s="5"/>
      <c r="I318" s="5" t="str">
        <f ca="1">IFERROR(_xludf.XLOOKUP(H318,BD_VACANTES!A:A,BD_VACANTES!C:C,""),"")</f>
        <v/>
      </c>
      <c r="J318" s="5" t="str">
        <f ca="1">IFERROR(_xludf.XLOOKUP(H318,BD_VACANTES!A:A,BD_VACANTES!E:E,""),"")</f>
        <v/>
      </c>
      <c r="K318" s="5"/>
      <c r="L318" s="5"/>
      <c r="M318" s="5"/>
      <c r="N318" s="5"/>
      <c r="O318" s="5"/>
      <c r="P318" s="6"/>
      <c r="Q318" s="8" t="str">
        <f t="shared" ca="1" si="9"/>
        <v/>
      </c>
      <c r="R318" s="7"/>
      <c r="S318" s="5"/>
    </row>
    <row r="319" spans="1:19">
      <c r="A319" s="5" t="str">
        <f t="shared" si="8"/>
        <v/>
      </c>
      <c r="B319" s="6"/>
      <c r="C319" s="5"/>
      <c r="D319" s="5"/>
      <c r="E319" s="5"/>
      <c r="F319" s="5"/>
      <c r="G319" s="5"/>
      <c r="H319" s="5"/>
      <c r="I319" s="5" t="str">
        <f ca="1">IFERROR(_xludf.XLOOKUP(H319,BD_VACANTES!A:A,BD_VACANTES!C:C,""),"")</f>
        <v/>
      </c>
      <c r="J319" s="5" t="str">
        <f ca="1">IFERROR(_xludf.XLOOKUP(H319,BD_VACANTES!A:A,BD_VACANTES!E:E,""),"")</f>
        <v/>
      </c>
      <c r="K319" s="5"/>
      <c r="L319" s="5"/>
      <c r="M319" s="5"/>
      <c r="N319" s="5"/>
      <c r="O319" s="5"/>
      <c r="P319" s="6"/>
      <c r="Q319" s="8" t="str">
        <f t="shared" ca="1" si="9"/>
        <v/>
      </c>
      <c r="R319" s="7"/>
      <c r="S319" s="5"/>
    </row>
    <row r="320" spans="1:19">
      <c r="A320" s="5" t="str">
        <f t="shared" si="8"/>
        <v/>
      </c>
      <c r="B320" s="6"/>
      <c r="C320" s="5"/>
      <c r="D320" s="5"/>
      <c r="E320" s="5"/>
      <c r="F320" s="5"/>
      <c r="G320" s="5"/>
      <c r="H320" s="5"/>
      <c r="I320" s="5" t="str">
        <f ca="1">IFERROR(_xludf.XLOOKUP(H320,BD_VACANTES!A:A,BD_VACANTES!C:C,""),"")</f>
        <v/>
      </c>
      <c r="J320" s="5" t="str">
        <f ca="1">IFERROR(_xludf.XLOOKUP(H320,BD_VACANTES!A:A,BD_VACANTES!E:E,""),"")</f>
        <v/>
      </c>
      <c r="K320" s="5"/>
      <c r="L320" s="5"/>
      <c r="M320" s="5"/>
      <c r="N320" s="5"/>
      <c r="O320" s="5"/>
      <c r="P320" s="6"/>
      <c r="Q320" s="8" t="str">
        <f t="shared" ca="1" si="9"/>
        <v/>
      </c>
      <c r="R320" s="7"/>
      <c r="S320" s="5"/>
    </row>
    <row r="321" spans="1:19">
      <c r="A321" s="5" t="str">
        <f t="shared" si="8"/>
        <v/>
      </c>
      <c r="B321" s="6"/>
      <c r="C321" s="5"/>
      <c r="D321" s="5"/>
      <c r="E321" s="5"/>
      <c r="F321" s="5"/>
      <c r="G321" s="5"/>
      <c r="H321" s="5"/>
      <c r="I321" s="5" t="str">
        <f ca="1">IFERROR(_xludf.XLOOKUP(H321,BD_VACANTES!A:A,BD_VACANTES!C:C,""),"")</f>
        <v/>
      </c>
      <c r="J321" s="5" t="str">
        <f ca="1">IFERROR(_xludf.XLOOKUP(H321,BD_VACANTES!A:A,BD_VACANTES!E:E,""),"")</f>
        <v/>
      </c>
      <c r="K321" s="5"/>
      <c r="L321" s="5"/>
      <c r="M321" s="5"/>
      <c r="N321" s="5"/>
      <c r="O321" s="5"/>
      <c r="P321" s="6"/>
      <c r="Q321" s="8" t="str">
        <f t="shared" ca="1" si="9"/>
        <v/>
      </c>
      <c r="R321" s="7"/>
      <c r="S321" s="5"/>
    </row>
    <row r="322" spans="1:19">
      <c r="A322" s="5" t="str">
        <f t="shared" ref="A322:A385" si="10">IF(C322&lt;&gt;"","CAN-"&amp;TEXT(ROW()-1,"0000"),"")</f>
        <v/>
      </c>
      <c r="B322" s="6"/>
      <c r="C322" s="5"/>
      <c r="D322" s="5"/>
      <c r="E322" s="5"/>
      <c r="F322" s="5"/>
      <c r="G322" s="5"/>
      <c r="H322" s="5"/>
      <c r="I322" s="5" t="str">
        <f ca="1">IFERROR(_xludf.XLOOKUP(H322,BD_VACANTES!A:A,BD_VACANTES!C:C,""),"")</f>
        <v/>
      </c>
      <c r="J322" s="5" t="str">
        <f ca="1">IFERROR(_xludf.XLOOKUP(H322,BD_VACANTES!A:A,BD_VACANTES!E:E,""),"")</f>
        <v/>
      </c>
      <c r="K322" s="5"/>
      <c r="L322" s="5"/>
      <c r="M322" s="5"/>
      <c r="N322" s="5"/>
      <c r="O322" s="5"/>
      <c r="P322" s="6"/>
      <c r="Q322" s="8" t="str">
        <f t="shared" ref="Q322:Q385" ca="1" si="11">IF(B322="","",IF(P322&lt;&gt;"",P322-B322,TODAY()-B322))</f>
        <v/>
      </c>
      <c r="R322" s="7"/>
      <c r="S322" s="5"/>
    </row>
    <row r="323" spans="1:19">
      <c r="A323" s="5" t="str">
        <f t="shared" si="10"/>
        <v/>
      </c>
      <c r="B323" s="6"/>
      <c r="C323" s="5"/>
      <c r="D323" s="5"/>
      <c r="E323" s="5"/>
      <c r="F323" s="5"/>
      <c r="G323" s="5"/>
      <c r="H323" s="5"/>
      <c r="I323" s="5" t="str">
        <f ca="1">IFERROR(_xludf.XLOOKUP(H323,BD_VACANTES!A:A,BD_VACANTES!C:C,""),"")</f>
        <v/>
      </c>
      <c r="J323" s="5" t="str">
        <f ca="1">IFERROR(_xludf.XLOOKUP(H323,BD_VACANTES!A:A,BD_VACANTES!E:E,""),"")</f>
        <v/>
      </c>
      <c r="K323" s="5"/>
      <c r="L323" s="5"/>
      <c r="M323" s="5"/>
      <c r="N323" s="5"/>
      <c r="O323" s="5"/>
      <c r="P323" s="6"/>
      <c r="Q323" s="8" t="str">
        <f t="shared" ca="1" si="11"/>
        <v/>
      </c>
      <c r="R323" s="7"/>
      <c r="S323" s="5"/>
    </row>
    <row r="324" spans="1:19">
      <c r="A324" s="5" t="str">
        <f t="shared" si="10"/>
        <v/>
      </c>
      <c r="B324" s="6"/>
      <c r="C324" s="5"/>
      <c r="D324" s="5"/>
      <c r="E324" s="5"/>
      <c r="F324" s="5"/>
      <c r="G324" s="5"/>
      <c r="H324" s="5"/>
      <c r="I324" s="5" t="str">
        <f ca="1">IFERROR(_xludf.XLOOKUP(H324,BD_VACANTES!A:A,BD_VACANTES!C:C,""),"")</f>
        <v/>
      </c>
      <c r="J324" s="5" t="str">
        <f ca="1">IFERROR(_xludf.XLOOKUP(H324,BD_VACANTES!A:A,BD_VACANTES!E:E,""),"")</f>
        <v/>
      </c>
      <c r="K324" s="5"/>
      <c r="L324" s="5"/>
      <c r="M324" s="5"/>
      <c r="N324" s="5"/>
      <c r="O324" s="5"/>
      <c r="P324" s="6"/>
      <c r="Q324" s="8" t="str">
        <f t="shared" ca="1" si="11"/>
        <v/>
      </c>
      <c r="R324" s="7"/>
      <c r="S324" s="5"/>
    </row>
    <row r="325" spans="1:19">
      <c r="A325" s="5" t="str">
        <f t="shared" si="10"/>
        <v/>
      </c>
      <c r="B325" s="6"/>
      <c r="C325" s="5"/>
      <c r="D325" s="5"/>
      <c r="E325" s="5"/>
      <c r="F325" s="5"/>
      <c r="G325" s="5"/>
      <c r="H325" s="5"/>
      <c r="I325" s="5" t="str">
        <f ca="1">IFERROR(_xludf.XLOOKUP(H325,BD_VACANTES!A:A,BD_VACANTES!C:C,""),"")</f>
        <v/>
      </c>
      <c r="J325" s="5" t="str">
        <f ca="1">IFERROR(_xludf.XLOOKUP(H325,BD_VACANTES!A:A,BD_VACANTES!E:E,""),"")</f>
        <v/>
      </c>
      <c r="K325" s="5"/>
      <c r="L325" s="5"/>
      <c r="M325" s="5"/>
      <c r="N325" s="5"/>
      <c r="O325" s="5"/>
      <c r="P325" s="6"/>
      <c r="Q325" s="8" t="str">
        <f t="shared" ca="1" si="11"/>
        <v/>
      </c>
      <c r="R325" s="7"/>
      <c r="S325" s="5"/>
    </row>
    <row r="326" spans="1:19">
      <c r="A326" s="5" t="str">
        <f t="shared" si="10"/>
        <v/>
      </c>
      <c r="B326" s="6"/>
      <c r="C326" s="5"/>
      <c r="D326" s="5"/>
      <c r="E326" s="5"/>
      <c r="F326" s="5"/>
      <c r="G326" s="5"/>
      <c r="H326" s="5"/>
      <c r="I326" s="5" t="str">
        <f ca="1">IFERROR(_xludf.XLOOKUP(H326,BD_VACANTES!A:A,BD_VACANTES!C:C,""),"")</f>
        <v/>
      </c>
      <c r="J326" s="5" t="str">
        <f ca="1">IFERROR(_xludf.XLOOKUP(H326,BD_VACANTES!A:A,BD_VACANTES!E:E,""),"")</f>
        <v/>
      </c>
      <c r="K326" s="5"/>
      <c r="L326" s="5"/>
      <c r="M326" s="5"/>
      <c r="N326" s="5"/>
      <c r="O326" s="5"/>
      <c r="P326" s="6"/>
      <c r="Q326" s="8" t="str">
        <f t="shared" ca="1" si="11"/>
        <v/>
      </c>
      <c r="R326" s="7"/>
      <c r="S326" s="5"/>
    </row>
    <row r="327" spans="1:19">
      <c r="A327" s="5" t="str">
        <f t="shared" si="10"/>
        <v/>
      </c>
      <c r="B327" s="6"/>
      <c r="C327" s="5"/>
      <c r="D327" s="5"/>
      <c r="E327" s="5"/>
      <c r="F327" s="5"/>
      <c r="G327" s="5"/>
      <c r="H327" s="5"/>
      <c r="I327" s="5" t="str">
        <f ca="1">IFERROR(_xludf.XLOOKUP(H327,BD_VACANTES!A:A,BD_VACANTES!C:C,""),"")</f>
        <v/>
      </c>
      <c r="J327" s="5" t="str">
        <f ca="1">IFERROR(_xludf.XLOOKUP(H327,BD_VACANTES!A:A,BD_VACANTES!E:E,""),"")</f>
        <v/>
      </c>
      <c r="K327" s="5"/>
      <c r="L327" s="5"/>
      <c r="M327" s="5"/>
      <c r="N327" s="5"/>
      <c r="O327" s="5"/>
      <c r="P327" s="6"/>
      <c r="Q327" s="8" t="str">
        <f t="shared" ca="1" si="11"/>
        <v/>
      </c>
      <c r="R327" s="7"/>
      <c r="S327" s="5"/>
    </row>
    <row r="328" spans="1:19">
      <c r="A328" s="5" t="str">
        <f t="shared" si="10"/>
        <v/>
      </c>
      <c r="B328" s="6"/>
      <c r="C328" s="5"/>
      <c r="D328" s="5"/>
      <c r="E328" s="5"/>
      <c r="F328" s="5"/>
      <c r="G328" s="5"/>
      <c r="H328" s="5"/>
      <c r="I328" s="5" t="str">
        <f ca="1">IFERROR(_xludf.XLOOKUP(H328,BD_VACANTES!A:A,BD_VACANTES!C:C,""),"")</f>
        <v/>
      </c>
      <c r="J328" s="5" t="str">
        <f ca="1">IFERROR(_xludf.XLOOKUP(H328,BD_VACANTES!A:A,BD_VACANTES!E:E,""),"")</f>
        <v/>
      </c>
      <c r="K328" s="5"/>
      <c r="L328" s="5"/>
      <c r="M328" s="5"/>
      <c r="N328" s="5"/>
      <c r="O328" s="5"/>
      <c r="P328" s="6"/>
      <c r="Q328" s="8" t="str">
        <f t="shared" ca="1" si="11"/>
        <v/>
      </c>
      <c r="R328" s="7"/>
      <c r="S328" s="5"/>
    </row>
    <row r="329" spans="1:19">
      <c r="A329" s="5" t="str">
        <f t="shared" si="10"/>
        <v/>
      </c>
      <c r="B329" s="6"/>
      <c r="C329" s="5"/>
      <c r="D329" s="5"/>
      <c r="E329" s="5"/>
      <c r="F329" s="5"/>
      <c r="G329" s="5"/>
      <c r="H329" s="5"/>
      <c r="I329" s="5" t="str">
        <f ca="1">IFERROR(_xludf.XLOOKUP(H329,BD_VACANTES!A:A,BD_VACANTES!C:C,""),"")</f>
        <v/>
      </c>
      <c r="J329" s="5" t="str">
        <f ca="1">IFERROR(_xludf.XLOOKUP(H329,BD_VACANTES!A:A,BD_VACANTES!E:E,""),"")</f>
        <v/>
      </c>
      <c r="K329" s="5"/>
      <c r="L329" s="5"/>
      <c r="M329" s="5"/>
      <c r="N329" s="5"/>
      <c r="O329" s="5"/>
      <c r="P329" s="6"/>
      <c r="Q329" s="8" t="str">
        <f t="shared" ca="1" si="11"/>
        <v/>
      </c>
      <c r="R329" s="7"/>
      <c r="S329" s="5"/>
    </row>
    <row r="330" spans="1:19">
      <c r="A330" s="5" t="str">
        <f t="shared" si="10"/>
        <v/>
      </c>
      <c r="B330" s="6"/>
      <c r="C330" s="5"/>
      <c r="D330" s="5"/>
      <c r="E330" s="5"/>
      <c r="F330" s="5"/>
      <c r="G330" s="5"/>
      <c r="H330" s="5"/>
      <c r="I330" s="5" t="str">
        <f ca="1">IFERROR(_xludf.XLOOKUP(H330,BD_VACANTES!A:A,BD_VACANTES!C:C,""),"")</f>
        <v/>
      </c>
      <c r="J330" s="5" t="str">
        <f ca="1">IFERROR(_xludf.XLOOKUP(H330,BD_VACANTES!A:A,BD_VACANTES!E:E,""),"")</f>
        <v/>
      </c>
      <c r="K330" s="5"/>
      <c r="L330" s="5"/>
      <c r="M330" s="5"/>
      <c r="N330" s="5"/>
      <c r="O330" s="5"/>
      <c r="P330" s="6"/>
      <c r="Q330" s="8" t="str">
        <f t="shared" ca="1" si="11"/>
        <v/>
      </c>
      <c r="R330" s="7"/>
      <c r="S330" s="5"/>
    </row>
    <row r="331" spans="1:19">
      <c r="A331" s="5" t="str">
        <f t="shared" si="10"/>
        <v/>
      </c>
      <c r="B331" s="6"/>
      <c r="C331" s="5"/>
      <c r="D331" s="5"/>
      <c r="E331" s="5"/>
      <c r="F331" s="5"/>
      <c r="G331" s="5"/>
      <c r="H331" s="5"/>
      <c r="I331" s="5" t="str">
        <f ca="1">IFERROR(_xludf.XLOOKUP(H331,BD_VACANTES!A:A,BD_VACANTES!C:C,""),"")</f>
        <v/>
      </c>
      <c r="J331" s="5" t="str">
        <f ca="1">IFERROR(_xludf.XLOOKUP(H331,BD_VACANTES!A:A,BD_VACANTES!E:E,""),"")</f>
        <v/>
      </c>
      <c r="K331" s="5"/>
      <c r="L331" s="5"/>
      <c r="M331" s="5"/>
      <c r="N331" s="5"/>
      <c r="O331" s="5"/>
      <c r="P331" s="6"/>
      <c r="Q331" s="8" t="str">
        <f t="shared" ca="1" si="11"/>
        <v/>
      </c>
      <c r="R331" s="7"/>
      <c r="S331" s="5"/>
    </row>
    <row r="332" spans="1:19">
      <c r="A332" s="5" t="str">
        <f t="shared" si="10"/>
        <v/>
      </c>
      <c r="B332" s="6"/>
      <c r="C332" s="5"/>
      <c r="D332" s="5"/>
      <c r="E332" s="5"/>
      <c r="F332" s="5"/>
      <c r="G332" s="5"/>
      <c r="H332" s="5"/>
      <c r="I332" s="5" t="str">
        <f ca="1">IFERROR(_xludf.XLOOKUP(H332,BD_VACANTES!A:A,BD_VACANTES!C:C,""),"")</f>
        <v/>
      </c>
      <c r="J332" s="5" t="str">
        <f ca="1">IFERROR(_xludf.XLOOKUP(H332,BD_VACANTES!A:A,BD_VACANTES!E:E,""),"")</f>
        <v/>
      </c>
      <c r="K332" s="5"/>
      <c r="L332" s="5"/>
      <c r="M332" s="5"/>
      <c r="N332" s="5"/>
      <c r="O332" s="5"/>
      <c r="P332" s="6"/>
      <c r="Q332" s="8" t="str">
        <f t="shared" ca="1" si="11"/>
        <v/>
      </c>
      <c r="R332" s="7"/>
      <c r="S332" s="5"/>
    </row>
    <row r="333" spans="1:19">
      <c r="A333" s="5" t="str">
        <f t="shared" si="10"/>
        <v/>
      </c>
      <c r="B333" s="6"/>
      <c r="C333" s="5"/>
      <c r="D333" s="5"/>
      <c r="E333" s="5"/>
      <c r="F333" s="5"/>
      <c r="G333" s="5"/>
      <c r="H333" s="5"/>
      <c r="I333" s="5" t="str">
        <f ca="1">IFERROR(_xludf.XLOOKUP(H333,BD_VACANTES!A:A,BD_VACANTES!C:C,""),"")</f>
        <v/>
      </c>
      <c r="J333" s="5" t="str">
        <f ca="1">IFERROR(_xludf.XLOOKUP(H333,BD_VACANTES!A:A,BD_VACANTES!E:E,""),"")</f>
        <v/>
      </c>
      <c r="K333" s="5"/>
      <c r="L333" s="5"/>
      <c r="M333" s="5"/>
      <c r="N333" s="5"/>
      <c r="O333" s="5"/>
      <c r="P333" s="6"/>
      <c r="Q333" s="8" t="str">
        <f t="shared" ca="1" si="11"/>
        <v/>
      </c>
      <c r="R333" s="7"/>
      <c r="S333" s="5"/>
    </row>
    <row r="334" spans="1:19">
      <c r="A334" s="5" t="str">
        <f t="shared" si="10"/>
        <v/>
      </c>
      <c r="B334" s="6"/>
      <c r="C334" s="5"/>
      <c r="D334" s="5"/>
      <c r="E334" s="5"/>
      <c r="F334" s="5"/>
      <c r="G334" s="5"/>
      <c r="H334" s="5"/>
      <c r="I334" s="5" t="str">
        <f ca="1">IFERROR(_xludf.XLOOKUP(H334,BD_VACANTES!A:A,BD_VACANTES!C:C,""),"")</f>
        <v/>
      </c>
      <c r="J334" s="5" t="str">
        <f ca="1">IFERROR(_xludf.XLOOKUP(H334,BD_VACANTES!A:A,BD_VACANTES!E:E,""),"")</f>
        <v/>
      </c>
      <c r="K334" s="5"/>
      <c r="L334" s="5"/>
      <c r="M334" s="5"/>
      <c r="N334" s="5"/>
      <c r="O334" s="5"/>
      <c r="P334" s="6"/>
      <c r="Q334" s="8" t="str">
        <f t="shared" ca="1" si="11"/>
        <v/>
      </c>
      <c r="R334" s="7"/>
      <c r="S334" s="5"/>
    </row>
    <row r="335" spans="1:19">
      <c r="A335" s="5" t="str">
        <f t="shared" si="10"/>
        <v/>
      </c>
      <c r="B335" s="6"/>
      <c r="C335" s="5"/>
      <c r="D335" s="5"/>
      <c r="E335" s="5"/>
      <c r="F335" s="5"/>
      <c r="G335" s="5"/>
      <c r="H335" s="5"/>
      <c r="I335" s="5" t="str">
        <f ca="1">IFERROR(_xludf.XLOOKUP(H335,BD_VACANTES!A:A,BD_VACANTES!C:C,""),"")</f>
        <v/>
      </c>
      <c r="J335" s="5" t="str">
        <f ca="1">IFERROR(_xludf.XLOOKUP(H335,BD_VACANTES!A:A,BD_VACANTES!E:E,""),"")</f>
        <v/>
      </c>
      <c r="K335" s="5"/>
      <c r="L335" s="5"/>
      <c r="M335" s="5"/>
      <c r="N335" s="5"/>
      <c r="O335" s="5"/>
      <c r="P335" s="6"/>
      <c r="Q335" s="8" t="str">
        <f t="shared" ca="1" si="11"/>
        <v/>
      </c>
      <c r="R335" s="7"/>
      <c r="S335" s="5"/>
    </row>
    <row r="336" spans="1:19">
      <c r="A336" s="5" t="str">
        <f t="shared" si="10"/>
        <v/>
      </c>
      <c r="B336" s="6"/>
      <c r="C336" s="5"/>
      <c r="D336" s="5"/>
      <c r="E336" s="5"/>
      <c r="F336" s="5"/>
      <c r="G336" s="5"/>
      <c r="H336" s="5"/>
      <c r="I336" s="5" t="str">
        <f ca="1">IFERROR(_xludf.XLOOKUP(H336,BD_VACANTES!A:A,BD_VACANTES!C:C,""),"")</f>
        <v/>
      </c>
      <c r="J336" s="5" t="str">
        <f ca="1">IFERROR(_xludf.XLOOKUP(H336,BD_VACANTES!A:A,BD_VACANTES!E:E,""),"")</f>
        <v/>
      </c>
      <c r="K336" s="5"/>
      <c r="L336" s="5"/>
      <c r="M336" s="5"/>
      <c r="N336" s="5"/>
      <c r="O336" s="5"/>
      <c r="P336" s="6"/>
      <c r="Q336" s="8" t="str">
        <f t="shared" ca="1" si="11"/>
        <v/>
      </c>
      <c r="R336" s="7"/>
      <c r="S336" s="5"/>
    </row>
    <row r="337" spans="1:19">
      <c r="A337" s="5" t="str">
        <f t="shared" si="10"/>
        <v/>
      </c>
      <c r="B337" s="6"/>
      <c r="C337" s="5"/>
      <c r="D337" s="5"/>
      <c r="E337" s="5"/>
      <c r="F337" s="5"/>
      <c r="G337" s="5"/>
      <c r="H337" s="5"/>
      <c r="I337" s="5" t="str">
        <f ca="1">IFERROR(_xludf.XLOOKUP(H337,BD_VACANTES!A:A,BD_VACANTES!C:C,""),"")</f>
        <v/>
      </c>
      <c r="J337" s="5" t="str">
        <f ca="1">IFERROR(_xludf.XLOOKUP(H337,BD_VACANTES!A:A,BD_VACANTES!E:E,""),"")</f>
        <v/>
      </c>
      <c r="K337" s="5"/>
      <c r="L337" s="5"/>
      <c r="M337" s="5"/>
      <c r="N337" s="5"/>
      <c r="O337" s="5"/>
      <c r="P337" s="6"/>
      <c r="Q337" s="8" t="str">
        <f t="shared" ca="1" si="11"/>
        <v/>
      </c>
      <c r="R337" s="7"/>
      <c r="S337" s="5"/>
    </row>
    <row r="338" spans="1:19">
      <c r="A338" s="5" t="str">
        <f t="shared" si="10"/>
        <v/>
      </c>
      <c r="B338" s="6"/>
      <c r="C338" s="5"/>
      <c r="D338" s="5"/>
      <c r="E338" s="5"/>
      <c r="F338" s="5"/>
      <c r="G338" s="5"/>
      <c r="H338" s="5"/>
      <c r="I338" s="5" t="str">
        <f ca="1">IFERROR(_xludf.XLOOKUP(H338,BD_VACANTES!A:A,BD_VACANTES!C:C,""),"")</f>
        <v/>
      </c>
      <c r="J338" s="5" t="str">
        <f ca="1">IFERROR(_xludf.XLOOKUP(H338,BD_VACANTES!A:A,BD_VACANTES!E:E,""),"")</f>
        <v/>
      </c>
      <c r="K338" s="5"/>
      <c r="L338" s="5"/>
      <c r="M338" s="5"/>
      <c r="N338" s="5"/>
      <c r="O338" s="5"/>
      <c r="P338" s="6"/>
      <c r="Q338" s="8" t="str">
        <f t="shared" ca="1" si="11"/>
        <v/>
      </c>
      <c r="R338" s="7"/>
      <c r="S338" s="5"/>
    </row>
    <row r="339" spans="1:19">
      <c r="A339" s="5" t="str">
        <f t="shared" si="10"/>
        <v/>
      </c>
      <c r="B339" s="6"/>
      <c r="C339" s="5"/>
      <c r="D339" s="5"/>
      <c r="E339" s="5"/>
      <c r="F339" s="5"/>
      <c r="G339" s="5"/>
      <c r="H339" s="5"/>
      <c r="I339" s="5" t="str">
        <f ca="1">IFERROR(_xludf.XLOOKUP(H339,BD_VACANTES!A:A,BD_VACANTES!C:C,""),"")</f>
        <v/>
      </c>
      <c r="J339" s="5" t="str">
        <f ca="1">IFERROR(_xludf.XLOOKUP(H339,BD_VACANTES!A:A,BD_VACANTES!E:E,""),"")</f>
        <v/>
      </c>
      <c r="K339" s="5"/>
      <c r="L339" s="5"/>
      <c r="M339" s="5"/>
      <c r="N339" s="5"/>
      <c r="O339" s="5"/>
      <c r="P339" s="6"/>
      <c r="Q339" s="8" t="str">
        <f t="shared" ca="1" si="11"/>
        <v/>
      </c>
      <c r="R339" s="7"/>
      <c r="S339" s="5"/>
    </row>
    <row r="340" spans="1:19">
      <c r="A340" s="5" t="str">
        <f t="shared" si="10"/>
        <v/>
      </c>
      <c r="B340" s="6"/>
      <c r="C340" s="5"/>
      <c r="D340" s="5"/>
      <c r="E340" s="5"/>
      <c r="F340" s="5"/>
      <c r="G340" s="5"/>
      <c r="H340" s="5"/>
      <c r="I340" s="5" t="str">
        <f ca="1">IFERROR(_xludf.XLOOKUP(H340,BD_VACANTES!A:A,BD_VACANTES!C:C,""),"")</f>
        <v/>
      </c>
      <c r="J340" s="5" t="str">
        <f ca="1">IFERROR(_xludf.XLOOKUP(H340,BD_VACANTES!A:A,BD_VACANTES!E:E,""),"")</f>
        <v/>
      </c>
      <c r="K340" s="5"/>
      <c r="L340" s="5"/>
      <c r="M340" s="5"/>
      <c r="N340" s="5"/>
      <c r="O340" s="5"/>
      <c r="P340" s="6"/>
      <c r="Q340" s="8" t="str">
        <f t="shared" ca="1" si="11"/>
        <v/>
      </c>
      <c r="R340" s="7"/>
      <c r="S340" s="5"/>
    </row>
    <row r="341" spans="1:19">
      <c r="A341" s="5" t="str">
        <f t="shared" si="10"/>
        <v/>
      </c>
      <c r="B341" s="6"/>
      <c r="C341" s="5"/>
      <c r="D341" s="5"/>
      <c r="E341" s="5"/>
      <c r="F341" s="5"/>
      <c r="G341" s="5"/>
      <c r="H341" s="5"/>
      <c r="I341" s="5" t="str">
        <f ca="1">IFERROR(_xludf.XLOOKUP(H341,BD_VACANTES!A:A,BD_VACANTES!C:C,""),"")</f>
        <v/>
      </c>
      <c r="J341" s="5" t="str">
        <f ca="1">IFERROR(_xludf.XLOOKUP(H341,BD_VACANTES!A:A,BD_VACANTES!E:E,""),"")</f>
        <v/>
      </c>
      <c r="K341" s="5"/>
      <c r="L341" s="5"/>
      <c r="M341" s="5"/>
      <c r="N341" s="5"/>
      <c r="O341" s="5"/>
      <c r="P341" s="6"/>
      <c r="Q341" s="8" t="str">
        <f t="shared" ca="1" si="11"/>
        <v/>
      </c>
      <c r="R341" s="7"/>
      <c r="S341" s="5"/>
    </row>
    <row r="342" spans="1:19">
      <c r="A342" s="5" t="str">
        <f t="shared" si="10"/>
        <v/>
      </c>
      <c r="B342" s="6"/>
      <c r="C342" s="5"/>
      <c r="D342" s="5"/>
      <c r="E342" s="5"/>
      <c r="F342" s="5"/>
      <c r="G342" s="5"/>
      <c r="H342" s="5"/>
      <c r="I342" s="5" t="str">
        <f ca="1">IFERROR(_xludf.XLOOKUP(H342,BD_VACANTES!A:A,BD_VACANTES!C:C,""),"")</f>
        <v/>
      </c>
      <c r="J342" s="5" t="str">
        <f ca="1">IFERROR(_xludf.XLOOKUP(H342,BD_VACANTES!A:A,BD_VACANTES!E:E,""),"")</f>
        <v/>
      </c>
      <c r="K342" s="5"/>
      <c r="L342" s="5"/>
      <c r="M342" s="5"/>
      <c r="N342" s="5"/>
      <c r="O342" s="5"/>
      <c r="P342" s="6"/>
      <c r="Q342" s="8" t="str">
        <f t="shared" ca="1" si="11"/>
        <v/>
      </c>
      <c r="R342" s="7"/>
      <c r="S342" s="5"/>
    </row>
    <row r="343" spans="1:19">
      <c r="A343" s="5" t="str">
        <f t="shared" si="10"/>
        <v/>
      </c>
      <c r="B343" s="6"/>
      <c r="C343" s="5"/>
      <c r="D343" s="5"/>
      <c r="E343" s="5"/>
      <c r="F343" s="5"/>
      <c r="G343" s="5"/>
      <c r="H343" s="5"/>
      <c r="I343" s="5" t="str">
        <f ca="1">IFERROR(_xludf.XLOOKUP(H343,BD_VACANTES!A:A,BD_VACANTES!C:C,""),"")</f>
        <v/>
      </c>
      <c r="J343" s="5" t="str">
        <f ca="1">IFERROR(_xludf.XLOOKUP(H343,BD_VACANTES!A:A,BD_VACANTES!E:E,""),"")</f>
        <v/>
      </c>
      <c r="K343" s="5"/>
      <c r="L343" s="5"/>
      <c r="M343" s="5"/>
      <c r="N343" s="5"/>
      <c r="O343" s="5"/>
      <c r="P343" s="6"/>
      <c r="Q343" s="8" t="str">
        <f t="shared" ca="1" si="11"/>
        <v/>
      </c>
      <c r="R343" s="7"/>
      <c r="S343" s="5"/>
    </row>
    <row r="344" spans="1:19">
      <c r="A344" s="5" t="str">
        <f t="shared" si="10"/>
        <v/>
      </c>
      <c r="B344" s="6"/>
      <c r="C344" s="5"/>
      <c r="D344" s="5"/>
      <c r="E344" s="5"/>
      <c r="F344" s="5"/>
      <c r="G344" s="5"/>
      <c r="H344" s="5"/>
      <c r="I344" s="5" t="str">
        <f ca="1">IFERROR(_xludf.XLOOKUP(H344,BD_VACANTES!A:A,BD_VACANTES!C:C,""),"")</f>
        <v/>
      </c>
      <c r="J344" s="5" t="str">
        <f ca="1">IFERROR(_xludf.XLOOKUP(H344,BD_VACANTES!A:A,BD_VACANTES!E:E,""),"")</f>
        <v/>
      </c>
      <c r="K344" s="5"/>
      <c r="L344" s="5"/>
      <c r="M344" s="5"/>
      <c r="N344" s="5"/>
      <c r="O344" s="5"/>
      <c r="P344" s="6"/>
      <c r="Q344" s="8" t="str">
        <f t="shared" ca="1" si="11"/>
        <v/>
      </c>
      <c r="R344" s="7"/>
      <c r="S344" s="5"/>
    </row>
    <row r="345" spans="1:19">
      <c r="A345" s="5" t="str">
        <f t="shared" si="10"/>
        <v/>
      </c>
      <c r="B345" s="6"/>
      <c r="C345" s="5"/>
      <c r="D345" s="5"/>
      <c r="E345" s="5"/>
      <c r="F345" s="5"/>
      <c r="G345" s="5"/>
      <c r="H345" s="5"/>
      <c r="I345" s="5" t="str">
        <f ca="1">IFERROR(_xludf.XLOOKUP(H345,BD_VACANTES!A:A,BD_VACANTES!C:C,""),"")</f>
        <v/>
      </c>
      <c r="J345" s="5" t="str">
        <f ca="1">IFERROR(_xludf.XLOOKUP(H345,BD_VACANTES!A:A,BD_VACANTES!E:E,""),"")</f>
        <v/>
      </c>
      <c r="K345" s="5"/>
      <c r="L345" s="5"/>
      <c r="M345" s="5"/>
      <c r="N345" s="5"/>
      <c r="O345" s="5"/>
      <c r="P345" s="6"/>
      <c r="Q345" s="8" t="str">
        <f t="shared" ca="1" si="11"/>
        <v/>
      </c>
      <c r="R345" s="7"/>
      <c r="S345" s="5"/>
    </row>
    <row r="346" spans="1:19">
      <c r="A346" s="5" t="str">
        <f t="shared" si="10"/>
        <v/>
      </c>
      <c r="B346" s="6"/>
      <c r="C346" s="5"/>
      <c r="D346" s="5"/>
      <c r="E346" s="5"/>
      <c r="F346" s="5"/>
      <c r="G346" s="5"/>
      <c r="H346" s="5"/>
      <c r="I346" s="5" t="str">
        <f ca="1">IFERROR(_xludf.XLOOKUP(H346,BD_VACANTES!A:A,BD_VACANTES!C:C,""),"")</f>
        <v/>
      </c>
      <c r="J346" s="5" t="str">
        <f ca="1">IFERROR(_xludf.XLOOKUP(H346,BD_VACANTES!A:A,BD_VACANTES!E:E,""),"")</f>
        <v/>
      </c>
      <c r="K346" s="5"/>
      <c r="L346" s="5"/>
      <c r="M346" s="5"/>
      <c r="N346" s="5"/>
      <c r="O346" s="5"/>
      <c r="P346" s="6"/>
      <c r="Q346" s="8" t="str">
        <f t="shared" ca="1" si="11"/>
        <v/>
      </c>
      <c r="R346" s="7"/>
      <c r="S346" s="5"/>
    </row>
    <row r="347" spans="1:19">
      <c r="A347" s="5" t="str">
        <f t="shared" si="10"/>
        <v/>
      </c>
      <c r="B347" s="6"/>
      <c r="C347" s="5"/>
      <c r="D347" s="5"/>
      <c r="E347" s="5"/>
      <c r="F347" s="5"/>
      <c r="G347" s="5"/>
      <c r="H347" s="5"/>
      <c r="I347" s="5" t="str">
        <f ca="1">IFERROR(_xludf.XLOOKUP(H347,BD_VACANTES!A:A,BD_VACANTES!C:C,""),"")</f>
        <v/>
      </c>
      <c r="J347" s="5" t="str">
        <f ca="1">IFERROR(_xludf.XLOOKUP(H347,BD_VACANTES!A:A,BD_VACANTES!E:E,""),"")</f>
        <v/>
      </c>
      <c r="K347" s="5"/>
      <c r="L347" s="5"/>
      <c r="M347" s="5"/>
      <c r="N347" s="5"/>
      <c r="O347" s="5"/>
      <c r="P347" s="6"/>
      <c r="Q347" s="8" t="str">
        <f t="shared" ca="1" si="11"/>
        <v/>
      </c>
      <c r="R347" s="7"/>
      <c r="S347" s="5"/>
    </row>
    <row r="348" spans="1:19">
      <c r="A348" s="5" t="str">
        <f t="shared" si="10"/>
        <v/>
      </c>
      <c r="B348" s="6"/>
      <c r="C348" s="5"/>
      <c r="D348" s="5"/>
      <c r="E348" s="5"/>
      <c r="F348" s="5"/>
      <c r="G348" s="5"/>
      <c r="H348" s="5"/>
      <c r="I348" s="5" t="str">
        <f ca="1">IFERROR(_xludf.XLOOKUP(H348,BD_VACANTES!A:A,BD_VACANTES!C:C,""),"")</f>
        <v/>
      </c>
      <c r="J348" s="5" t="str">
        <f ca="1">IFERROR(_xludf.XLOOKUP(H348,BD_VACANTES!A:A,BD_VACANTES!E:E,""),"")</f>
        <v/>
      </c>
      <c r="K348" s="5"/>
      <c r="L348" s="5"/>
      <c r="M348" s="5"/>
      <c r="N348" s="5"/>
      <c r="O348" s="5"/>
      <c r="P348" s="6"/>
      <c r="Q348" s="8" t="str">
        <f t="shared" ca="1" si="11"/>
        <v/>
      </c>
      <c r="R348" s="7"/>
      <c r="S348" s="5"/>
    </row>
    <row r="349" spans="1:19">
      <c r="A349" s="5" t="str">
        <f t="shared" si="10"/>
        <v/>
      </c>
      <c r="B349" s="6"/>
      <c r="C349" s="5"/>
      <c r="D349" s="5"/>
      <c r="E349" s="5"/>
      <c r="F349" s="5"/>
      <c r="G349" s="5"/>
      <c r="H349" s="5"/>
      <c r="I349" s="5" t="str">
        <f ca="1">IFERROR(_xludf.XLOOKUP(H349,BD_VACANTES!A:A,BD_VACANTES!C:C,""),"")</f>
        <v/>
      </c>
      <c r="J349" s="5" t="str">
        <f ca="1">IFERROR(_xludf.XLOOKUP(H349,BD_VACANTES!A:A,BD_VACANTES!E:E,""),"")</f>
        <v/>
      </c>
      <c r="K349" s="5"/>
      <c r="L349" s="5"/>
      <c r="M349" s="5"/>
      <c r="N349" s="5"/>
      <c r="O349" s="5"/>
      <c r="P349" s="6"/>
      <c r="Q349" s="8" t="str">
        <f t="shared" ca="1" si="11"/>
        <v/>
      </c>
      <c r="R349" s="7"/>
      <c r="S349" s="5"/>
    </row>
    <row r="350" spans="1:19">
      <c r="A350" s="5" t="str">
        <f t="shared" si="10"/>
        <v/>
      </c>
      <c r="B350" s="6"/>
      <c r="C350" s="5"/>
      <c r="D350" s="5"/>
      <c r="E350" s="5"/>
      <c r="F350" s="5"/>
      <c r="G350" s="5"/>
      <c r="H350" s="5"/>
      <c r="I350" s="5" t="str">
        <f ca="1">IFERROR(_xludf.XLOOKUP(H350,BD_VACANTES!A:A,BD_VACANTES!C:C,""),"")</f>
        <v/>
      </c>
      <c r="J350" s="5" t="str">
        <f ca="1">IFERROR(_xludf.XLOOKUP(H350,BD_VACANTES!A:A,BD_VACANTES!E:E,""),"")</f>
        <v/>
      </c>
      <c r="K350" s="5"/>
      <c r="L350" s="5"/>
      <c r="M350" s="5"/>
      <c r="N350" s="5"/>
      <c r="O350" s="5"/>
      <c r="P350" s="6"/>
      <c r="Q350" s="8" t="str">
        <f t="shared" ca="1" si="11"/>
        <v/>
      </c>
      <c r="R350" s="7"/>
      <c r="S350" s="5"/>
    </row>
    <row r="351" spans="1:19">
      <c r="A351" s="5" t="str">
        <f t="shared" si="10"/>
        <v/>
      </c>
      <c r="B351" s="6"/>
      <c r="C351" s="5"/>
      <c r="D351" s="5"/>
      <c r="E351" s="5"/>
      <c r="F351" s="5"/>
      <c r="G351" s="5"/>
      <c r="H351" s="5"/>
      <c r="I351" s="5" t="str">
        <f ca="1">IFERROR(_xludf.XLOOKUP(H351,BD_VACANTES!A:A,BD_VACANTES!C:C,""),"")</f>
        <v/>
      </c>
      <c r="J351" s="5" t="str">
        <f ca="1">IFERROR(_xludf.XLOOKUP(H351,BD_VACANTES!A:A,BD_VACANTES!E:E,""),"")</f>
        <v/>
      </c>
      <c r="K351" s="5"/>
      <c r="L351" s="5"/>
      <c r="M351" s="5"/>
      <c r="N351" s="5"/>
      <c r="O351" s="5"/>
      <c r="P351" s="6"/>
      <c r="Q351" s="8" t="str">
        <f t="shared" ca="1" si="11"/>
        <v/>
      </c>
      <c r="R351" s="7"/>
      <c r="S351" s="5"/>
    </row>
    <row r="352" spans="1:19">
      <c r="A352" s="5" t="str">
        <f t="shared" si="10"/>
        <v/>
      </c>
      <c r="B352" s="6"/>
      <c r="C352" s="5"/>
      <c r="D352" s="5"/>
      <c r="E352" s="5"/>
      <c r="F352" s="5"/>
      <c r="G352" s="5"/>
      <c r="H352" s="5"/>
      <c r="I352" s="5" t="str">
        <f ca="1">IFERROR(_xludf.XLOOKUP(H352,BD_VACANTES!A:A,BD_VACANTES!C:C,""),"")</f>
        <v/>
      </c>
      <c r="J352" s="5" t="str">
        <f ca="1">IFERROR(_xludf.XLOOKUP(H352,BD_VACANTES!A:A,BD_VACANTES!E:E,""),"")</f>
        <v/>
      </c>
      <c r="K352" s="5"/>
      <c r="L352" s="5"/>
      <c r="M352" s="5"/>
      <c r="N352" s="5"/>
      <c r="O352" s="5"/>
      <c r="P352" s="6"/>
      <c r="Q352" s="8" t="str">
        <f t="shared" ca="1" si="11"/>
        <v/>
      </c>
      <c r="R352" s="7"/>
      <c r="S352" s="5"/>
    </row>
    <row r="353" spans="1:19">
      <c r="A353" s="5" t="str">
        <f t="shared" si="10"/>
        <v/>
      </c>
      <c r="B353" s="6"/>
      <c r="C353" s="5"/>
      <c r="D353" s="5"/>
      <c r="E353" s="5"/>
      <c r="F353" s="5"/>
      <c r="G353" s="5"/>
      <c r="H353" s="5"/>
      <c r="I353" s="5" t="str">
        <f ca="1">IFERROR(_xludf.XLOOKUP(H353,BD_VACANTES!A:A,BD_VACANTES!C:C,""),"")</f>
        <v/>
      </c>
      <c r="J353" s="5" t="str">
        <f ca="1">IFERROR(_xludf.XLOOKUP(H353,BD_VACANTES!A:A,BD_VACANTES!E:E,""),"")</f>
        <v/>
      </c>
      <c r="K353" s="5"/>
      <c r="L353" s="5"/>
      <c r="M353" s="5"/>
      <c r="N353" s="5"/>
      <c r="O353" s="5"/>
      <c r="P353" s="6"/>
      <c r="Q353" s="8" t="str">
        <f t="shared" ca="1" si="11"/>
        <v/>
      </c>
      <c r="R353" s="7"/>
      <c r="S353" s="5"/>
    </row>
    <row r="354" spans="1:19">
      <c r="A354" s="5" t="str">
        <f t="shared" si="10"/>
        <v/>
      </c>
      <c r="B354" s="6"/>
      <c r="C354" s="5"/>
      <c r="D354" s="5"/>
      <c r="E354" s="5"/>
      <c r="F354" s="5"/>
      <c r="G354" s="5"/>
      <c r="H354" s="5"/>
      <c r="I354" s="5" t="str">
        <f ca="1">IFERROR(_xludf.XLOOKUP(H354,BD_VACANTES!A:A,BD_VACANTES!C:C,""),"")</f>
        <v/>
      </c>
      <c r="J354" s="5" t="str">
        <f ca="1">IFERROR(_xludf.XLOOKUP(H354,BD_VACANTES!A:A,BD_VACANTES!E:E,""),"")</f>
        <v/>
      </c>
      <c r="K354" s="5"/>
      <c r="L354" s="5"/>
      <c r="M354" s="5"/>
      <c r="N354" s="5"/>
      <c r="O354" s="5"/>
      <c r="P354" s="6"/>
      <c r="Q354" s="8" t="str">
        <f t="shared" ca="1" si="11"/>
        <v/>
      </c>
      <c r="R354" s="7"/>
      <c r="S354" s="5"/>
    </row>
    <row r="355" spans="1:19">
      <c r="A355" s="5" t="str">
        <f t="shared" si="10"/>
        <v/>
      </c>
      <c r="B355" s="6"/>
      <c r="C355" s="5"/>
      <c r="D355" s="5"/>
      <c r="E355" s="5"/>
      <c r="F355" s="5"/>
      <c r="G355" s="5"/>
      <c r="H355" s="5"/>
      <c r="I355" s="5" t="str">
        <f ca="1">IFERROR(_xludf.XLOOKUP(H355,BD_VACANTES!A:A,BD_VACANTES!C:C,""),"")</f>
        <v/>
      </c>
      <c r="J355" s="5" t="str">
        <f ca="1">IFERROR(_xludf.XLOOKUP(H355,BD_VACANTES!A:A,BD_VACANTES!E:E,""),"")</f>
        <v/>
      </c>
      <c r="K355" s="5"/>
      <c r="L355" s="5"/>
      <c r="M355" s="5"/>
      <c r="N355" s="5"/>
      <c r="O355" s="5"/>
      <c r="P355" s="6"/>
      <c r="Q355" s="8" t="str">
        <f t="shared" ca="1" si="11"/>
        <v/>
      </c>
      <c r="R355" s="7"/>
      <c r="S355" s="5"/>
    </row>
    <row r="356" spans="1:19">
      <c r="A356" s="5" t="str">
        <f t="shared" si="10"/>
        <v/>
      </c>
      <c r="B356" s="6"/>
      <c r="C356" s="5"/>
      <c r="D356" s="5"/>
      <c r="E356" s="5"/>
      <c r="F356" s="5"/>
      <c r="G356" s="5"/>
      <c r="H356" s="5"/>
      <c r="I356" s="5" t="str">
        <f ca="1">IFERROR(_xludf.XLOOKUP(H356,BD_VACANTES!A:A,BD_VACANTES!C:C,""),"")</f>
        <v/>
      </c>
      <c r="J356" s="5" t="str">
        <f ca="1">IFERROR(_xludf.XLOOKUP(H356,BD_VACANTES!A:A,BD_VACANTES!E:E,""),"")</f>
        <v/>
      </c>
      <c r="K356" s="5"/>
      <c r="L356" s="5"/>
      <c r="M356" s="5"/>
      <c r="N356" s="5"/>
      <c r="O356" s="5"/>
      <c r="P356" s="6"/>
      <c r="Q356" s="8" t="str">
        <f t="shared" ca="1" si="11"/>
        <v/>
      </c>
      <c r="R356" s="7"/>
      <c r="S356" s="5"/>
    </row>
    <row r="357" spans="1:19">
      <c r="A357" s="5" t="str">
        <f t="shared" si="10"/>
        <v/>
      </c>
      <c r="B357" s="6"/>
      <c r="C357" s="5"/>
      <c r="D357" s="5"/>
      <c r="E357" s="5"/>
      <c r="F357" s="5"/>
      <c r="G357" s="5"/>
      <c r="H357" s="5"/>
      <c r="I357" s="5" t="str">
        <f ca="1">IFERROR(_xludf.XLOOKUP(H357,BD_VACANTES!A:A,BD_VACANTES!C:C,""),"")</f>
        <v/>
      </c>
      <c r="J357" s="5" t="str">
        <f ca="1">IFERROR(_xludf.XLOOKUP(H357,BD_VACANTES!A:A,BD_VACANTES!E:E,""),"")</f>
        <v/>
      </c>
      <c r="K357" s="5"/>
      <c r="L357" s="5"/>
      <c r="M357" s="5"/>
      <c r="N357" s="5"/>
      <c r="O357" s="5"/>
      <c r="P357" s="6"/>
      <c r="Q357" s="8" t="str">
        <f t="shared" ca="1" si="11"/>
        <v/>
      </c>
      <c r="R357" s="7"/>
      <c r="S357" s="5"/>
    </row>
    <row r="358" spans="1:19">
      <c r="A358" s="5" t="str">
        <f t="shared" si="10"/>
        <v/>
      </c>
      <c r="B358" s="6"/>
      <c r="C358" s="5"/>
      <c r="D358" s="5"/>
      <c r="E358" s="5"/>
      <c r="F358" s="5"/>
      <c r="G358" s="5"/>
      <c r="H358" s="5"/>
      <c r="I358" s="5" t="str">
        <f ca="1">IFERROR(_xludf.XLOOKUP(H358,BD_VACANTES!A:A,BD_VACANTES!C:C,""),"")</f>
        <v/>
      </c>
      <c r="J358" s="5" t="str">
        <f ca="1">IFERROR(_xludf.XLOOKUP(H358,BD_VACANTES!A:A,BD_VACANTES!E:E,""),"")</f>
        <v/>
      </c>
      <c r="K358" s="5"/>
      <c r="L358" s="5"/>
      <c r="M358" s="5"/>
      <c r="N358" s="5"/>
      <c r="O358" s="5"/>
      <c r="P358" s="6"/>
      <c r="Q358" s="8" t="str">
        <f t="shared" ca="1" si="11"/>
        <v/>
      </c>
      <c r="R358" s="7"/>
      <c r="S358" s="5"/>
    </row>
    <row r="359" spans="1:19">
      <c r="A359" s="5" t="str">
        <f t="shared" si="10"/>
        <v/>
      </c>
      <c r="B359" s="6"/>
      <c r="C359" s="5"/>
      <c r="D359" s="5"/>
      <c r="E359" s="5"/>
      <c r="F359" s="5"/>
      <c r="G359" s="5"/>
      <c r="H359" s="5"/>
      <c r="I359" s="5" t="str">
        <f ca="1">IFERROR(_xludf.XLOOKUP(H359,BD_VACANTES!A:A,BD_VACANTES!C:C,""),"")</f>
        <v/>
      </c>
      <c r="J359" s="5" t="str">
        <f ca="1">IFERROR(_xludf.XLOOKUP(H359,BD_VACANTES!A:A,BD_VACANTES!E:E,""),"")</f>
        <v/>
      </c>
      <c r="K359" s="5"/>
      <c r="L359" s="5"/>
      <c r="M359" s="5"/>
      <c r="N359" s="5"/>
      <c r="O359" s="5"/>
      <c r="P359" s="6"/>
      <c r="Q359" s="8" t="str">
        <f t="shared" ca="1" si="11"/>
        <v/>
      </c>
      <c r="R359" s="7"/>
      <c r="S359" s="5"/>
    </row>
    <row r="360" spans="1:19">
      <c r="A360" s="5" t="str">
        <f t="shared" si="10"/>
        <v/>
      </c>
      <c r="B360" s="6"/>
      <c r="C360" s="5"/>
      <c r="D360" s="5"/>
      <c r="E360" s="5"/>
      <c r="F360" s="5"/>
      <c r="G360" s="5"/>
      <c r="H360" s="5"/>
      <c r="I360" s="5" t="str">
        <f ca="1">IFERROR(_xludf.XLOOKUP(H360,BD_VACANTES!A:A,BD_VACANTES!C:C,""),"")</f>
        <v/>
      </c>
      <c r="J360" s="5" t="str">
        <f ca="1">IFERROR(_xludf.XLOOKUP(H360,BD_VACANTES!A:A,BD_VACANTES!E:E,""),"")</f>
        <v/>
      </c>
      <c r="K360" s="5"/>
      <c r="L360" s="5"/>
      <c r="M360" s="5"/>
      <c r="N360" s="5"/>
      <c r="O360" s="5"/>
      <c r="P360" s="6"/>
      <c r="Q360" s="8" t="str">
        <f t="shared" ca="1" si="11"/>
        <v/>
      </c>
      <c r="R360" s="7"/>
      <c r="S360" s="5"/>
    </row>
    <row r="361" spans="1:19">
      <c r="A361" s="5" t="str">
        <f t="shared" si="10"/>
        <v/>
      </c>
      <c r="B361" s="6"/>
      <c r="C361" s="5"/>
      <c r="D361" s="5"/>
      <c r="E361" s="5"/>
      <c r="F361" s="5"/>
      <c r="G361" s="5"/>
      <c r="H361" s="5"/>
      <c r="I361" s="5" t="str">
        <f ca="1">IFERROR(_xludf.XLOOKUP(H361,BD_VACANTES!A:A,BD_VACANTES!C:C,""),"")</f>
        <v/>
      </c>
      <c r="J361" s="5" t="str">
        <f ca="1">IFERROR(_xludf.XLOOKUP(H361,BD_VACANTES!A:A,BD_VACANTES!E:E,""),"")</f>
        <v/>
      </c>
      <c r="K361" s="5"/>
      <c r="L361" s="5"/>
      <c r="M361" s="5"/>
      <c r="N361" s="5"/>
      <c r="O361" s="5"/>
      <c r="P361" s="6"/>
      <c r="Q361" s="8" t="str">
        <f t="shared" ca="1" si="11"/>
        <v/>
      </c>
      <c r="R361" s="7"/>
      <c r="S361" s="5"/>
    </row>
    <row r="362" spans="1:19">
      <c r="A362" s="5" t="str">
        <f t="shared" si="10"/>
        <v/>
      </c>
      <c r="B362" s="6"/>
      <c r="C362" s="5"/>
      <c r="D362" s="5"/>
      <c r="E362" s="5"/>
      <c r="F362" s="5"/>
      <c r="G362" s="5"/>
      <c r="H362" s="5"/>
      <c r="I362" s="5" t="str">
        <f ca="1">IFERROR(_xludf.XLOOKUP(H362,BD_VACANTES!A:A,BD_VACANTES!C:C,""),"")</f>
        <v/>
      </c>
      <c r="J362" s="5" t="str">
        <f ca="1">IFERROR(_xludf.XLOOKUP(H362,BD_VACANTES!A:A,BD_VACANTES!E:E,""),"")</f>
        <v/>
      </c>
      <c r="K362" s="5"/>
      <c r="L362" s="5"/>
      <c r="M362" s="5"/>
      <c r="N362" s="5"/>
      <c r="O362" s="5"/>
      <c r="P362" s="6"/>
      <c r="Q362" s="8" t="str">
        <f t="shared" ca="1" si="11"/>
        <v/>
      </c>
      <c r="R362" s="7"/>
      <c r="S362" s="5"/>
    </row>
    <row r="363" spans="1:19">
      <c r="A363" s="5" t="str">
        <f t="shared" si="10"/>
        <v/>
      </c>
      <c r="B363" s="6"/>
      <c r="C363" s="5"/>
      <c r="D363" s="5"/>
      <c r="E363" s="5"/>
      <c r="F363" s="5"/>
      <c r="G363" s="5"/>
      <c r="H363" s="5"/>
      <c r="I363" s="5" t="str">
        <f ca="1">IFERROR(_xludf.XLOOKUP(H363,BD_VACANTES!A:A,BD_VACANTES!C:C,""),"")</f>
        <v/>
      </c>
      <c r="J363" s="5" t="str">
        <f ca="1">IFERROR(_xludf.XLOOKUP(H363,BD_VACANTES!A:A,BD_VACANTES!E:E,""),"")</f>
        <v/>
      </c>
      <c r="K363" s="5"/>
      <c r="L363" s="5"/>
      <c r="M363" s="5"/>
      <c r="N363" s="5"/>
      <c r="O363" s="5"/>
      <c r="P363" s="6"/>
      <c r="Q363" s="8" t="str">
        <f t="shared" ca="1" si="11"/>
        <v/>
      </c>
      <c r="R363" s="7"/>
      <c r="S363" s="5"/>
    </row>
    <row r="364" spans="1:19">
      <c r="A364" s="5" t="str">
        <f t="shared" si="10"/>
        <v/>
      </c>
      <c r="B364" s="6"/>
      <c r="C364" s="5"/>
      <c r="D364" s="5"/>
      <c r="E364" s="5"/>
      <c r="F364" s="5"/>
      <c r="G364" s="5"/>
      <c r="H364" s="5"/>
      <c r="I364" s="5" t="str">
        <f ca="1">IFERROR(_xludf.XLOOKUP(H364,BD_VACANTES!A:A,BD_VACANTES!C:C,""),"")</f>
        <v/>
      </c>
      <c r="J364" s="5" t="str">
        <f ca="1">IFERROR(_xludf.XLOOKUP(H364,BD_VACANTES!A:A,BD_VACANTES!E:E,""),"")</f>
        <v/>
      </c>
      <c r="K364" s="5"/>
      <c r="L364" s="5"/>
      <c r="M364" s="5"/>
      <c r="N364" s="5"/>
      <c r="O364" s="5"/>
      <c r="P364" s="6"/>
      <c r="Q364" s="8" t="str">
        <f t="shared" ca="1" si="11"/>
        <v/>
      </c>
      <c r="R364" s="7"/>
      <c r="S364" s="5"/>
    </row>
    <row r="365" spans="1:19">
      <c r="A365" s="5" t="str">
        <f t="shared" si="10"/>
        <v/>
      </c>
      <c r="B365" s="6"/>
      <c r="C365" s="5"/>
      <c r="D365" s="5"/>
      <c r="E365" s="5"/>
      <c r="F365" s="5"/>
      <c r="G365" s="5"/>
      <c r="H365" s="5"/>
      <c r="I365" s="5" t="str">
        <f ca="1">IFERROR(_xludf.XLOOKUP(H365,BD_VACANTES!A:A,BD_VACANTES!C:C,""),"")</f>
        <v/>
      </c>
      <c r="J365" s="5" t="str">
        <f ca="1">IFERROR(_xludf.XLOOKUP(H365,BD_VACANTES!A:A,BD_VACANTES!E:E,""),"")</f>
        <v/>
      </c>
      <c r="K365" s="5"/>
      <c r="L365" s="5"/>
      <c r="M365" s="5"/>
      <c r="N365" s="5"/>
      <c r="O365" s="5"/>
      <c r="P365" s="6"/>
      <c r="Q365" s="8" t="str">
        <f t="shared" ca="1" si="11"/>
        <v/>
      </c>
      <c r="R365" s="7"/>
      <c r="S365" s="5"/>
    </row>
    <row r="366" spans="1:19">
      <c r="A366" s="5" t="str">
        <f t="shared" si="10"/>
        <v/>
      </c>
      <c r="B366" s="6"/>
      <c r="C366" s="5"/>
      <c r="D366" s="5"/>
      <c r="E366" s="5"/>
      <c r="F366" s="5"/>
      <c r="G366" s="5"/>
      <c r="H366" s="5"/>
      <c r="I366" s="5" t="str">
        <f ca="1">IFERROR(_xludf.XLOOKUP(H366,BD_VACANTES!A:A,BD_VACANTES!C:C,""),"")</f>
        <v/>
      </c>
      <c r="J366" s="5" t="str">
        <f ca="1">IFERROR(_xludf.XLOOKUP(H366,BD_VACANTES!A:A,BD_VACANTES!E:E,""),"")</f>
        <v/>
      </c>
      <c r="K366" s="5"/>
      <c r="L366" s="5"/>
      <c r="M366" s="5"/>
      <c r="N366" s="5"/>
      <c r="O366" s="5"/>
      <c r="P366" s="6"/>
      <c r="Q366" s="8" t="str">
        <f t="shared" ca="1" si="11"/>
        <v/>
      </c>
      <c r="R366" s="7"/>
      <c r="S366" s="5"/>
    </row>
    <row r="367" spans="1:19">
      <c r="A367" s="5" t="str">
        <f t="shared" si="10"/>
        <v/>
      </c>
      <c r="B367" s="6"/>
      <c r="C367" s="5"/>
      <c r="D367" s="5"/>
      <c r="E367" s="5"/>
      <c r="F367" s="5"/>
      <c r="G367" s="5"/>
      <c r="H367" s="5"/>
      <c r="I367" s="5" t="str">
        <f ca="1">IFERROR(_xludf.XLOOKUP(H367,BD_VACANTES!A:A,BD_VACANTES!C:C,""),"")</f>
        <v/>
      </c>
      <c r="J367" s="5" t="str">
        <f ca="1">IFERROR(_xludf.XLOOKUP(H367,BD_VACANTES!A:A,BD_VACANTES!E:E,""),"")</f>
        <v/>
      </c>
      <c r="K367" s="5"/>
      <c r="L367" s="5"/>
      <c r="M367" s="5"/>
      <c r="N367" s="5"/>
      <c r="O367" s="5"/>
      <c r="P367" s="6"/>
      <c r="Q367" s="8" t="str">
        <f t="shared" ca="1" si="11"/>
        <v/>
      </c>
      <c r="R367" s="7"/>
      <c r="S367" s="5"/>
    </row>
    <row r="368" spans="1:19">
      <c r="A368" s="5" t="str">
        <f t="shared" si="10"/>
        <v/>
      </c>
      <c r="B368" s="6"/>
      <c r="C368" s="5"/>
      <c r="D368" s="5"/>
      <c r="E368" s="5"/>
      <c r="F368" s="5"/>
      <c r="G368" s="5"/>
      <c r="H368" s="5"/>
      <c r="I368" s="5" t="str">
        <f ca="1">IFERROR(_xludf.XLOOKUP(H368,BD_VACANTES!A:A,BD_VACANTES!C:C,""),"")</f>
        <v/>
      </c>
      <c r="J368" s="5" t="str">
        <f ca="1">IFERROR(_xludf.XLOOKUP(H368,BD_VACANTES!A:A,BD_VACANTES!E:E,""),"")</f>
        <v/>
      </c>
      <c r="K368" s="5"/>
      <c r="L368" s="5"/>
      <c r="M368" s="5"/>
      <c r="N368" s="5"/>
      <c r="O368" s="5"/>
      <c r="P368" s="6"/>
      <c r="Q368" s="8" t="str">
        <f t="shared" ca="1" si="11"/>
        <v/>
      </c>
      <c r="R368" s="7"/>
      <c r="S368" s="5"/>
    </row>
    <row r="369" spans="1:19">
      <c r="A369" s="5" t="str">
        <f t="shared" si="10"/>
        <v/>
      </c>
      <c r="B369" s="6"/>
      <c r="C369" s="5"/>
      <c r="D369" s="5"/>
      <c r="E369" s="5"/>
      <c r="F369" s="5"/>
      <c r="G369" s="5"/>
      <c r="H369" s="5"/>
      <c r="I369" s="5" t="str">
        <f ca="1">IFERROR(_xludf.XLOOKUP(H369,BD_VACANTES!A:A,BD_VACANTES!C:C,""),"")</f>
        <v/>
      </c>
      <c r="J369" s="5" t="str">
        <f ca="1">IFERROR(_xludf.XLOOKUP(H369,BD_VACANTES!A:A,BD_VACANTES!E:E,""),"")</f>
        <v/>
      </c>
      <c r="K369" s="5"/>
      <c r="L369" s="5"/>
      <c r="M369" s="5"/>
      <c r="N369" s="5"/>
      <c r="O369" s="5"/>
      <c r="P369" s="6"/>
      <c r="Q369" s="8" t="str">
        <f t="shared" ca="1" si="11"/>
        <v/>
      </c>
      <c r="R369" s="7"/>
      <c r="S369" s="5"/>
    </row>
    <row r="370" spans="1:19">
      <c r="A370" s="5" t="str">
        <f t="shared" si="10"/>
        <v/>
      </c>
      <c r="B370" s="6"/>
      <c r="C370" s="5"/>
      <c r="D370" s="5"/>
      <c r="E370" s="5"/>
      <c r="F370" s="5"/>
      <c r="G370" s="5"/>
      <c r="H370" s="5"/>
      <c r="I370" s="5" t="str">
        <f ca="1">IFERROR(_xludf.XLOOKUP(H370,BD_VACANTES!A:A,BD_VACANTES!C:C,""),"")</f>
        <v/>
      </c>
      <c r="J370" s="5" t="str">
        <f ca="1">IFERROR(_xludf.XLOOKUP(H370,BD_VACANTES!A:A,BD_VACANTES!E:E,""),"")</f>
        <v/>
      </c>
      <c r="K370" s="5"/>
      <c r="L370" s="5"/>
      <c r="M370" s="5"/>
      <c r="N370" s="5"/>
      <c r="O370" s="5"/>
      <c r="P370" s="6"/>
      <c r="Q370" s="8" t="str">
        <f t="shared" ca="1" si="11"/>
        <v/>
      </c>
      <c r="R370" s="7"/>
      <c r="S370" s="5"/>
    </row>
    <row r="371" spans="1:19">
      <c r="A371" s="5" t="str">
        <f t="shared" si="10"/>
        <v/>
      </c>
      <c r="B371" s="6"/>
      <c r="C371" s="5"/>
      <c r="D371" s="5"/>
      <c r="E371" s="5"/>
      <c r="F371" s="5"/>
      <c r="G371" s="5"/>
      <c r="H371" s="5"/>
      <c r="I371" s="5" t="str">
        <f ca="1">IFERROR(_xludf.XLOOKUP(H371,BD_VACANTES!A:A,BD_VACANTES!C:C,""),"")</f>
        <v/>
      </c>
      <c r="J371" s="5" t="str">
        <f ca="1">IFERROR(_xludf.XLOOKUP(H371,BD_VACANTES!A:A,BD_VACANTES!E:E,""),"")</f>
        <v/>
      </c>
      <c r="K371" s="5"/>
      <c r="L371" s="5"/>
      <c r="M371" s="5"/>
      <c r="N371" s="5"/>
      <c r="O371" s="5"/>
      <c r="P371" s="6"/>
      <c r="Q371" s="8" t="str">
        <f t="shared" ca="1" si="11"/>
        <v/>
      </c>
      <c r="R371" s="7"/>
      <c r="S371" s="5"/>
    </row>
    <row r="372" spans="1:19">
      <c r="A372" s="5" t="str">
        <f t="shared" si="10"/>
        <v/>
      </c>
      <c r="B372" s="6"/>
      <c r="C372" s="5"/>
      <c r="D372" s="5"/>
      <c r="E372" s="5"/>
      <c r="F372" s="5"/>
      <c r="G372" s="5"/>
      <c r="H372" s="5"/>
      <c r="I372" s="5" t="str">
        <f ca="1">IFERROR(_xludf.XLOOKUP(H372,BD_VACANTES!A:A,BD_VACANTES!C:C,""),"")</f>
        <v/>
      </c>
      <c r="J372" s="5" t="str">
        <f ca="1">IFERROR(_xludf.XLOOKUP(H372,BD_VACANTES!A:A,BD_VACANTES!E:E,""),"")</f>
        <v/>
      </c>
      <c r="K372" s="5"/>
      <c r="L372" s="5"/>
      <c r="M372" s="5"/>
      <c r="N372" s="5"/>
      <c r="O372" s="5"/>
      <c r="P372" s="6"/>
      <c r="Q372" s="8" t="str">
        <f t="shared" ca="1" si="11"/>
        <v/>
      </c>
      <c r="R372" s="7"/>
      <c r="S372" s="5"/>
    </row>
    <row r="373" spans="1:19">
      <c r="A373" s="5" t="str">
        <f t="shared" si="10"/>
        <v/>
      </c>
      <c r="B373" s="6"/>
      <c r="C373" s="5"/>
      <c r="D373" s="5"/>
      <c r="E373" s="5"/>
      <c r="F373" s="5"/>
      <c r="G373" s="5"/>
      <c r="H373" s="5"/>
      <c r="I373" s="5" t="str">
        <f ca="1">IFERROR(_xludf.XLOOKUP(H373,BD_VACANTES!A:A,BD_VACANTES!C:C,""),"")</f>
        <v/>
      </c>
      <c r="J373" s="5" t="str">
        <f ca="1">IFERROR(_xludf.XLOOKUP(H373,BD_VACANTES!A:A,BD_VACANTES!E:E,""),"")</f>
        <v/>
      </c>
      <c r="K373" s="5"/>
      <c r="L373" s="5"/>
      <c r="M373" s="5"/>
      <c r="N373" s="5"/>
      <c r="O373" s="5"/>
      <c r="P373" s="6"/>
      <c r="Q373" s="8" t="str">
        <f t="shared" ca="1" si="11"/>
        <v/>
      </c>
      <c r="R373" s="7"/>
      <c r="S373" s="5"/>
    </row>
    <row r="374" spans="1:19">
      <c r="A374" s="5" t="str">
        <f t="shared" si="10"/>
        <v/>
      </c>
      <c r="B374" s="6"/>
      <c r="C374" s="5"/>
      <c r="D374" s="5"/>
      <c r="E374" s="5"/>
      <c r="F374" s="5"/>
      <c r="G374" s="5"/>
      <c r="H374" s="5"/>
      <c r="I374" s="5" t="str">
        <f ca="1">IFERROR(_xludf.XLOOKUP(H374,BD_VACANTES!A:A,BD_VACANTES!C:C,""),"")</f>
        <v/>
      </c>
      <c r="J374" s="5" t="str">
        <f ca="1">IFERROR(_xludf.XLOOKUP(H374,BD_VACANTES!A:A,BD_VACANTES!E:E,""),"")</f>
        <v/>
      </c>
      <c r="K374" s="5"/>
      <c r="L374" s="5"/>
      <c r="M374" s="5"/>
      <c r="N374" s="5"/>
      <c r="O374" s="5"/>
      <c r="P374" s="6"/>
      <c r="Q374" s="8" t="str">
        <f t="shared" ca="1" si="11"/>
        <v/>
      </c>
      <c r="R374" s="7"/>
      <c r="S374" s="5"/>
    </row>
    <row r="375" spans="1:19">
      <c r="A375" s="5" t="str">
        <f t="shared" si="10"/>
        <v/>
      </c>
      <c r="B375" s="6"/>
      <c r="C375" s="5"/>
      <c r="D375" s="5"/>
      <c r="E375" s="5"/>
      <c r="F375" s="5"/>
      <c r="G375" s="5"/>
      <c r="H375" s="5"/>
      <c r="I375" s="5" t="str">
        <f ca="1">IFERROR(_xludf.XLOOKUP(H375,BD_VACANTES!A:A,BD_VACANTES!C:C,""),"")</f>
        <v/>
      </c>
      <c r="J375" s="5" t="str">
        <f ca="1">IFERROR(_xludf.XLOOKUP(H375,BD_VACANTES!A:A,BD_VACANTES!E:E,""),"")</f>
        <v/>
      </c>
      <c r="K375" s="5"/>
      <c r="L375" s="5"/>
      <c r="M375" s="5"/>
      <c r="N375" s="5"/>
      <c r="O375" s="5"/>
      <c r="P375" s="6"/>
      <c r="Q375" s="8" t="str">
        <f t="shared" ca="1" si="11"/>
        <v/>
      </c>
      <c r="R375" s="7"/>
      <c r="S375" s="5"/>
    </row>
    <row r="376" spans="1:19">
      <c r="A376" s="5" t="str">
        <f t="shared" si="10"/>
        <v/>
      </c>
      <c r="B376" s="6"/>
      <c r="C376" s="5"/>
      <c r="D376" s="5"/>
      <c r="E376" s="5"/>
      <c r="F376" s="5"/>
      <c r="G376" s="5"/>
      <c r="H376" s="5"/>
      <c r="I376" s="5" t="str">
        <f ca="1">IFERROR(_xludf.XLOOKUP(H376,BD_VACANTES!A:A,BD_VACANTES!C:C,""),"")</f>
        <v/>
      </c>
      <c r="J376" s="5" t="str">
        <f ca="1">IFERROR(_xludf.XLOOKUP(H376,BD_VACANTES!A:A,BD_VACANTES!E:E,""),"")</f>
        <v/>
      </c>
      <c r="K376" s="5"/>
      <c r="L376" s="5"/>
      <c r="M376" s="5"/>
      <c r="N376" s="5"/>
      <c r="O376" s="5"/>
      <c r="P376" s="6"/>
      <c r="Q376" s="8" t="str">
        <f t="shared" ca="1" si="11"/>
        <v/>
      </c>
      <c r="R376" s="7"/>
      <c r="S376" s="5"/>
    </row>
    <row r="377" spans="1:19">
      <c r="A377" s="5" t="str">
        <f t="shared" si="10"/>
        <v/>
      </c>
      <c r="B377" s="6"/>
      <c r="C377" s="5"/>
      <c r="D377" s="5"/>
      <c r="E377" s="5"/>
      <c r="F377" s="5"/>
      <c r="G377" s="5"/>
      <c r="H377" s="5"/>
      <c r="I377" s="5" t="str">
        <f ca="1">IFERROR(_xludf.XLOOKUP(H377,BD_VACANTES!A:A,BD_VACANTES!C:C,""),"")</f>
        <v/>
      </c>
      <c r="J377" s="5" t="str">
        <f ca="1">IFERROR(_xludf.XLOOKUP(H377,BD_VACANTES!A:A,BD_VACANTES!E:E,""),"")</f>
        <v/>
      </c>
      <c r="K377" s="5"/>
      <c r="L377" s="5"/>
      <c r="M377" s="5"/>
      <c r="N377" s="5"/>
      <c r="O377" s="5"/>
      <c r="P377" s="6"/>
      <c r="Q377" s="8" t="str">
        <f t="shared" ca="1" si="11"/>
        <v/>
      </c>
      <c r="R377" s="7"/>
      <c r="S377" s="5"/>
    </row>
    <row r="378" spans="1:19">
      <c r="A378" s="5" t="str">
        <f t="shared" si="10"/>
        <v/>
      </c>
      <c r="B378" s="6"/>
      <c r="C378" s="5"/>
      <c r="D378" s="5"/>
      <c r="E378" s="5"/>
      <c r="F378" s="5"/>
      <c r="G378" s="5"/>
      <c r="H378" s="5"/>
      <c r="I378" s="5" t="str">
        <f ca="1">IFERROR(_xludf.XLOOKUP(H378,BD_VACANTES!A:A,BD_VACANTES!C:C,""),"")</f>
        <v/>
      </c>
      <c r="J378" s="5" t="str">
        <f ca="1">IFERROR(_xludf.XLOOKUP(H378,BD_VACANTES!A:A,BD_VACANTES!E:E,""),"")</f>
        <v/>
      </c>
      <c r="K378" s="5"/>
      <c r="L378" s="5"/>
      <c r="M378" s="5"/>
      <c r="N378" s="5"/>
      <c r="O378" s="5"/>
      <c r="P378" s="6"/>
      <c r="Q378" s="8" t="str">
        <f t="shared" ca="1" si="11"/>
        <v/>
      </c>
      <c r="R378" s="7"/>
      <c r="S378" s="5"/>
    </row>
    <row r="379" spans="1:19">
      <c r="A379" s="5" t="str">
        <f t="shared" si="10"/>
        <v/>
      </c>
      <c r="B379" s="6"/>
      <c r="C379" s="5"/>
      <c r="D379" s="5"/>
      <c r="E379" s="5"/>
      <c r="F379" s="5"/>
      <c r="G379" s="5"/>
      <c r="H379" s="5"/>
      <c r="I379" s="5" t="str">
        <f ca="1">IFERROR(_xludf.XLOOKUP(H379,BD_VACANTES!A:A,BD_VACANTES!C:C,""),"")</f>
        <v/>
      </c>
      <c r="J379" s="5" t="str">
        <f ca="1">IFERROR(_xludf.XLOOKUP(H379,BD_VACANTES!A:A,BD_VACANTES!E:E,""),"")</f>
        <v/>
      </c>
      <c r="K379" s="5"/>
      <c r="L379" s="5"/>
      <c r="M379" s="5"/>
      <c r="N379" s="5"/>
      <c r="O379" s="5"/>
      <c r="P379" s="6"/>
      <c r="Q379" s="8" t="str">
        <f t="shared" ca="1" si="11"/>
        <v/>
      </c>
      <c r="R379" s="7"/>
      <c r="S379" s="5"/>
    </row>
    <row r="380" spans="1:19">
      <c r="A380" s="5" t="str">
        <f t="shared" si="10"/>
        <v/>
      </c>
      <c r="B380" s="6"/>
      <c r="C380" s="5"/>
      <c r="D380" s="5"/>
      <c r="E380" s="5"/>
      <c r="F380" s="5"/>
      <c r="G380" s="5"/>
      <c r="H380" s="5"/>
      <c r="I380" s="5" t="str">
        <f ca="1">IFERROR(_xludf.XLOOKUP(H380,BD_VACANTES!A:A,BD_VACANTES!C:C,""),"")</f>
        <v/>
      </c>
      <c r="J380" s="5" t="str">
        <f ca="1">IFERROR(_xludf.XLOOKUP(H380,BD_VACANTES!A:A,BD_VACANTES!E:E,""),"")</f>
        <v/>
      </c>
      <c r="K380" s="5"/>
      <c r="L380" s="5"/>
      <c r="M380" s="5"/>
      <c r="N380" s="5"/>
      <c r="O380" s="5"/>
      <c r="P380" s="6"/>
      <c r="Q380" s="8" t="str">
        <f t="shared" ca="1" si="11"/>
        <v/>
      </c>
      <c r="R380" s="7"/>
      <c r="S380" s="5"/>
    </row>
    <row r="381" spans="1:19">
      <c r="A381" s="5" t="str">
        <f t="shared" si="10"/>
        <v/>
      </c>
      <c r="B381" s="6"/>
      <c r="C381" s="5"/>
      <c r="D381" s="5"/>
      <c r="E381" s="5"/>
      <c r="F381" s="5"/>
      <c r="G381" s="5"/>
      <c r="H381" s="5"/>
      <c r="I381" s="5" t="str">
        <f ca="1">IFERROR(_xludf.XLOOKUP(H381,BD_VACANTES!A:A,BD_VACANTES!C:C,""),"")</f>
        <v/>
      </c>
      <c r="J381" s="5" t="str">
        <f ca="1">IFERROR(_xludf.XLOOKUP(H381,BD_VACANTES!A:A,BD_VACANTES!E:E,""),"")</f>
        <v/>
      </c>
      <c r="K381" s="5"/>
      <c r="L381" s="5"/>
      <c r="M381" s="5"/>
      <c r="N381" s="5"/>
      <c r="O381" s="5"/>
      <c r="P381" s="6"/>
      <c r="Q381" s="8" t="str">
        <f t="shared" ca="1" si="11"/>
        <v/>
      </c>
      <c r="R381" s="7"/>
      <c r="S381" s="5"/>
    </row>
    <row r="382" spans="1:19">
      <c r="A382" s="5" t="str">
        <f t="shared" si="10"/>
        <v/>
      </c>
      <c r="B382" s="6"/>
      <c r="C382" s="5"/>
      <c r="D382" s="5"/>
      <c r="E382" s="5"/>
      <c r="F382" s="5"/>
      <c r="G382" s="5"/>
      <c r="H382" s="5"/>
      <c r="I382" s="5" t="str">
        <f ca="1">IFERROR(_xludf.XLOOKUP(H382,BD_VACANTES!A:A,BD_VACANTES!C:C,""),"")</f>
        <v/>
      </c>
      <c r="J382" s="5" t="str">
        <f ca="1">IFERROR(_xludf.XLOOKUP(H382,BD_VACANTES!A:A,BD_VACANTES!E:E,""),"")</f>
        <v/>
      </c>
      <c r="K382" s="5"/>
      <c r="L382" s="5"/>
      <c r="M382" s="5"/>
      <c r="N382" s="5"/>
      <c r="O382" s="5"/>
      <c r="P382" s="6"/>
      <c r="Q382" s="8" t="str">
        <f t="shared" ca="1" si="11"/>
        <v/>
      </c>
      <c r="R382" s="7"/>
      <c r="S382" s="5"/>
    </row>
    <row r="383" spans="1:19">
      <c r="A383" s="5" t="str">
        <f t="shared" si="10"/>
        <v/>
      </c>
      <c r="B383" s="6"/>
      <c r="C383" s="5"/>
      <c r="D383" s="5"/>
      <c r="E383" s="5"/>
      <c r="F383" s="5"/>
      <c r="G383" s="5"/>
      <c r="H383" s="5"/>
      <c r="I383" s="5" t="str">
        <f ca="1">IFERROR(_xludf.XLOOKUP(H383,BD_VACANTES!A:A,BD_VACANTES!C:C,""),"")</f>
        <v/>
      </c>
      <c r="J383" s="5" t="str">
        <f ca="1">IFERROR(_xludf.XLOOKUP(H383,BD_VACANTES!A:A,BD_VACANTES!E:E,""),"")</f>
        <v/>
      </c>
      <c r="K383" s="5"/>
      <c r="L383" s="5"/>
      <c r="M383" s="5"/>
      <c r="N383" s="5"/>
      <c r="O383" s="5"/>
      <c r="P383" s="6"/>
      <c r="Q383" s="8" t="str">
        <f t="shared" ca="1" si="11"/>
        <v/>
      </c>
      <c r="R383" s="7"/>
      <c r="S383" s="5"/>
    </row>
    <row r="384" spans="1:19">
      <c r="A384" s="5" t="str">
        <f t="shared" si="10"/>
        <v/>
      </c>
      <c r="B384" s="6"/>
      <c r="C384" s="5"/>
      <c r="D384" s="5"/>
      <c r="E384" s="5"/>
      <c r="F384" s="5"/>
      <c r="G384" s="5"/>
      <c r="H384" s="5"/>
      <c r="I384" s="5" t="str">
        <f ca="1">IFERROR(_xludf.XLOOKUP(H384,BD_VACANTES!A:A,BD_VACANTES!C:C,""),"")</f>
        <v/>
      </c>
      <c r="J384" s="5" t="str">
        <f ca="1">IFERROR(_xludf.XLOOKUP(H384,BD_VACANTES!A:A,BD_VACANTES!E:E,""),"")</f>
        <v/>
      </c>
      <c r="K384" s="5"/>
      <c r="L384" s="5"/>
      <c r="M384" s="5"/>
      <c r="N384" s="5"/>
      <c r="O384" s="5"/>
      <c r="P384" s="6"/>
      <c r="Q384" s="8" t="str">
        <f t="shared" ca="1" si="11"/>
        <v/>
      </c>
      <c r="R384" s="7"/>
      <c r="S384" s="5"/>
    </row>
    <row r="385" spans="1:19">
      <c r="A385" s="5" t="str">
        <f t="shared" si="10"/>
        <v/>
      </c>
      <c r="B385" s="6"/>
      <c r="C385" s="5"/>
      <c r="D385" s="5"/>
      <c r="E385" s="5"/>
      <c r="F385" s="5"/>
      <c r="G385" s="5"/>
      <c r="H385" s="5"/>
      <c r="I385" s="5" t="str">
        <f ca="1">IFERROR(_xludf.XLOOKUP(H385,BD_VACANTES!A:A,BD_VACANTES!C:C,""),"")</f>
        <v/>
      </c>
      <c r="J385" s="5" t="str">
        <f ca="1">IFERROR(_xludf.XLOOKUP(H385,BD_VACANTES!A:A,BD_VACANTES!E:E,""),"")</f>
        <v/>
      </c>
      <c r="K385" s="5"/>
      <c r="L385" s="5"/>
      <c r="M385" s="5"/>
      <c r="N385" s="5"/>
      <c r="O385" s="5"/>
      <c r="P385" s="6"/>
      <c r="Q385" s="8" t="str">
        <f t="shared" ca="1" si="11"/>
        <v/>
      </c>
      <c r="R385" s="7"/>
      <c r="S385" s="5"/>
    </row>
    <row r="386" spans="1:19">
      <c r="A386" s="5" t="str">
        <f t="shared" ref="A386:A449" si="12">IF(C386&lt;&gt;"","CAN-"&amp;TEXT(ROW()-1,"0000"),"")</f>
        <v/>
      </c>
      <c r="B386" s="6"/>
      <c r="C386" s="5"/>
      <c r="D386" s="5"/>
      <c r="E386" s="5"/>
      <c r="F386" s="5"/>
      <c r="G386" s="5"/>
      <c r="H386" s="5"/>
      <c r="I386" s="5" t="str">
        <f ca="1">IFERROR(_xludf.XLOOKUP(H386,BD_VACANTES!A:A,BD_VACANTES!C:C,""),"")</f>
        <v/>
      </c>
      <c r="J386" s="5" t="str">
        <f ca="1">IFERROR(_xludf.XLOOKUP(H386,BD_VACANTES!A:A,BD_VACANTES!E:E,""),"")</f>
        <v/>
      </c>
      <c r="K386" s="5"/>
      <c r="L386" s="5"/>
      <c r="M386" s="5"/>
      <c r="N386" s="5"/>
      <c r="O386" s="5"/>
      <c r="P386" s="6"/>
      <c r="Q386" s="8" t="str">
        <f t="shared" ref="Q386:Q449" ca="1" si="13">IF(B386="","",IF(P386&lt;&gt;"",P386-B386,TODAY()-B386))</f>
        <v/>
      </c>
      <c r="R386" s="7"/>
      <c r="S386" s="5"/>
    </row>
    <row r="387" spans="1:19">
      <c r="A387" s="5" t="str">
        <f t="shared" si="12"/>
        <v/>
      </c>
      <c r="B387" s="6"/>
      <c r="C387" s="5"/>
      <c r="D387" s="5"/>
      <c r="E387" s="5"/>
      <c r="F387" s="5"/>
      <c r="G387" s="5"/>
      <c r="H387" s="5"/>
      <c r="I387" s="5" t="str">
        <f ca="1">IFERROR(_xludf.XLOOKUP(H387,BD_VACANTES!A:A,BD_VACANTES!C:C,""),"")</f>
        <v/>
      </c>
      <c r="J387" s="5" t="str">
        <f ca="1">IFERROR(_xludf.XLOOKUP(H387,BD_VACANTES!A:A,BD_VACANTES!E:E,""),"")</f>
        <v/>
      </c>
      <c r="K387" s="5"/>
      <c r="L387" s="5"/>
      <c r="M387" s="5"/>
      <c r="N387" s="5"/>
      <c r="O387" s="5"/>
      <c r="P387" s="6"/>
      <c r="Q387" s="8" t="str">
        <f t="shared" ca="1" si="13"/>
        <v/>
      </c>
      <c r="R387" s="7"/>
      <c r="S387" s="5"/>
    </row>
    <row r="388" spans="1:19">
      <c r="A388" s="5" t="str">
        <f t="shared" si="12"/>
        <v/>
      </c>
      <c r="B388" s="6"/>
      <c r="C388" s="5"/>
      <c r="D388" s="5"/>
      <c r="E388" s="5"/>
      <c r="F388" s="5"/>
      <c r="G388" s="5"/>
      <c r="H388" s="5"/>
      <c r="I388" s="5" t="str">
        <f ca="1">IFERROR(_xludf.XLOOKUP(H388,BD_VACANTES!A:A,BD_VACANTES!C:C,""),"")</f>
        <v/>
      </c>
      <c r="J388" s="5" t="str">
        <f ca="1">IFERROR(_xludf.XLOOKUP(H388,BD_VACANTES!A:A,BD_VACANTES!E:E,""),"")</f>
        <v/>
      </c>
      <c r="K388" s="5"/>
      <c r="L388" s="5"/>
      <c r="M388" s="5"/>
      <c r="N388" s="5"/>
      <c r="O388" s="5"/>
      <c r="P388" s="6"/>
      <c r="Q388" s="8" t="str">
        <f t="shared" ca="1" si="13"/>
        <v/>
      </c>
      <c r="R388" s="7"/>
      <c r="S388" s="5"/>
    </row>
    <row r="389" spans="1:19">
      <c r="A389" s="5" t="str">
        <f t="shared" si="12"/>
        <v/>
      </c>
      <c r="B389" s="6"/>
      <c r="C389" s="5"/>
      <c r="D389" s="5"/>
      <c r="E389" s="5"/>
      <c r="F389" s="5"/>
      <c r="G389" s="5"/>
      <c r="H389" s="5"/>
      <c r="I389" s="5" t="str">
        <f ca="1">IFERROR(_xludf.XLOOKUP(H389,BD_VACANTES!A:A,BD_VACANTES!C:C,""),"")</f>
        <v/>
      </c>
      <c r="J389" s="5" t="str">
        <f ca="1">IFERROR(_xludf.XLOOKUP(H389,BD_VACANTES!A:A,BD_VACANTES!E:E,""),"")</f>
        <v/>
      </c>
      <c r="K389" s="5"/>
      <c r="L389" s="5"/>
      <c r="M389" s="5"/>
      <c r="N389" s="5"/>
      <c r="O389" s="5"/>
      <c r="P389" s="6"/>
      <c r="Q389" s="8" t="str">
        <f t="shared" ca="1" si="13"/>
        <v/>
      </c>
      <c r="R389" s="7"/>
      <c r="S389" s="5"/>
    </row>
    <row r="390" spans="1:19">
      <c r="A390" s="5" t="str">
        <f t="shared" si="12"/>
        <v/>
      </c>
      <c r="B390" s="6"/>
      <c r="C390" s="5"/>
      <c r="D390" s="5"/>
      <c r="E390" s="5"/>
      <c r="F390" s="5"/>
      <c r="G390" s="5"/>
      <c r="H390" s="5"/>
      <c r="I390" s="5" t="str">
        <f ca="1">IFERROR(_xludf.XLOOKUP(H390,BD_VACANTES!A:A,BD_VACANTES!C:C,""),"")</f>
        <v/>
      </c>
      <c r="J390" s="5" t="str">
        <f ca="1">IFERROR(_xludf.XLOOKUP(H390,BD_VACANTES!A:A,BD_VACANTES!E:E,""),"")</f>
        <v/>
      </c>
      <c r="K390" s="5"/>
      <c r="L390" s="5"/>
      <c r="M390" s="5"/>
      <c r="N390" s="5"/>
      <c r="O390" s="5"/>
      <c r="P390" s="6"/>
      <c r="Q390" s="8" t="str">
        <f t="shared" ca="1" si="13"/>
        <v/>
      </c>
      <c r="R390" s="7"/>
      <c r="S390" s="5"/>
    </row>
    <row r="391" spans="1:19">
      <c r="A391" s="5" t="str">
        <f t="shared" si="12"/>
        <v/>
      </c>
      <c r="B391" s="6"/>
      <c r="C391" s="5"/>
      <c r="D391" s="5"/>
      <c r="E391" s="5"/>
      <c r="F391" s="5"/>
      <c r="G391" s="5"/>
      <c r="H391" s="5"/>
      <c r="I391" s="5" t="str">
        <f ca="1">IFERROR(_xludf.XLOOKUP(H391,BD_VACANTES!A:A,BD_VACANTES!C:C,""),"")</f>
        <v/>
      </c>
      <c r="J391" s="5" t="str">
        <f ca="1">IFERROR(_xludf.XLOOKUP(H391,BD_VACANTES!A:A,BD_VACANTES!E:E,""),"")</f>
        <v/>
      </c>
      <c r="K391" s="5"/>
      <c r="L391" s="5"/>
      <c r="M391" s="5"/>
      <c r="N391" s="5"/>
      <c r="O391" s="5"/>
      <c r="P391" s="6"/>
      <c r="Q391" s="8" t="str">
        <f t="shared" ca="1" si="13"/>
        <v/>
      </c>
      <c r="R391" s="7"/>
      <c r="S391" s="5"/>
    </row>
    <row r="392" spans="1:19">
      <c r="A392" s="5" t="str">
        <f t="shared" si="12"/>
        <v/>
      </c>
      <c r="B392" s="6"/>
      <c r="C392" s="5"/>
      <c r="D392" s="5"/>
      <c r="E392" s="5"/>
      <c r="F392" s="5"/>
      <c r="G392" s="5"/>
      <c r="H392" s="5"/>
      <c r="I392" s="5" t="str">
        <f ca="1">IFERROR(_xludf.XLOOKUP(H392,BD_VACANTES!A:A,BD_VACANTES!C:C,""),"")</f>
        <v/>
      </c>
      <c r="J392" s="5" t="str">
        <f ca="1">IFERROR(_xludf.XLOOKUP(H392,BD_VACANTES!A:A,BD_VACANTES!E:E,""),"")</f>
        <v/>
      </c>
      <c r="K392" s="5"/>
      <c r="L392" s="5"/>
      <c r="M392" s="5"/>
      <c r="N392" s="5"/>
      <c r="O392" s="5"/>
      <c r="P392" s="6"/>
      <c r="Q392" s="8" t="str">
        <f t="shared" ca="1" si="13"/>
        <v/>
      </c>
      <c r="R392" s="7"/>
      <c r="S392" s="5"/>
    </row>
    <row r="393" spans="1:19">
      <c r="A393" s="5" t="str">
        <f t="shared" si="12"/>
        <v/>
      </c>
      <c r="B393" s="6"/>
      <c r="C393" s="5"/>
      <c r="D393" s="5"/>
      <c r="E393" s="5"/>
      <c r="F393" s="5"/>
      <c r="G393" s="5"/>
      <c r="H393" s="5"/>
      <c r="I393" s="5" t="str">
        <f ca="1">IFERROR(_xludf.XLOOKUP(H393,BD_VACANTES!A:A,BD_VACANTES!C:C,""),"")</f>
        <v/>
      </c>
      <c r="J393" s="5" t="str">
        <f ca="1">IFERROR(_xludf.XLOOKUP(H393,BD_VACANTES!A:A,BD_VACANTES!E:E,""),"")</f>
        <v/>
      </c>
      <c r="K393" s="5"/>
      <c r="L393" s="5"/>
      <c r="M393" s="5"/>
      <c r="N393" s="5"/>
      <c r="O393" s="5"/>
      <c r="P393" s="6"/>
      <c r="Q393" s="8" t="str">
        <f t="shared" ca="1" si="13"/>
        <v/>
      </c>
      <c r="R393" s="7"/>
      <c r="S393" s="5"/>
    </row>
    <row r="394" spans="1:19">
      <c r="A394" s="5" t="str">
        <f t="shared" si="12"/>
        <v/>
      </c>
      <c r="B394" s="6"/>
      <c r="C394" s="5"/>
      <c r="D394" s="5"/>
      <c r="E394" s="5"/>
      <c r="F394" s="5"/>
      <c r="G394" s="5"/>
      <c r="H394" s="5"/>
      <c r="I394" s="5" t="str">
        <f ca="1">IFERROR(_xludf.XLOOKUP(H394,BD_VACANTES!A:A,BD_VACANTES!C:C,""),"")</f>
        <v/>
      </c>
      <c r="J394" s="5" t="str">
        <f ca="1">IFERROR(_xludf.XLOOKUP(H394,BD_VACANTES!A:A,BD_VACANTES!E:E,""),"")</f>
        <v/>
      </c>
      <c r="K394" s="5"/>
      <c r="L394" s="5"/>
      <c r="M394" s="5"/>
      <c r="N394" s="5"/>
      <c r="O394" s="5"/>
      <c r="P394" s="6"/>
      <c r="Q394" s="8" t="str">
        <f t="shared" ca="1" si="13"/>
        <v/>
      </c>
      <c r="R394" s="7"/>
      <c r="S394" s="5"/>
    </row>
    <row r="395" spans="1:19">
      <c r="A395" s="5" t="str">
        <f t="shared" si="12"/>
        <v/>
      </c>
      <c r="B395" s="6"/>
      <c r="C395" s="5"/>
      <c r="D395" s="5"/>
      <c r="E395" s="5"/>
      <c r="F395" s="5"/>
      <c r="G395" s="5"/>
      <c r="H395" s="5"/>
      <c r="I395" s="5" t="str">
        <f ca="1">IFERROR(_xludf.XLOOKUP(H395,BD_VACANTES!A:A,BD_VACANTES!C:C,""),"")</f>
        <v/>
      </c>
      <c r="J395" s="5" t="str">
        <f ca="1">IFERROR(_xludf.XLOOKUP(H395,BD_VACANTES!A:A,BD_VACANTES!E:E,""),"")</f>
        <v/>
      </c>
      <c r="K395" s="5"/>
      <c r="L395" s="5"/>
      <c r="M395" s="5"/>
      <c r="N395" s="5"/>
      <c r="O395" s="5"/>
      <c r="P395" s="6"/>
      <c r="Q395" s="8" t="str">
        <f t="shared" ca="1" si="13"/>
        <v/>
      </c>
      <c r="R395" s="7"/>
      <c r="S395" s="5"/>
    </row>
    <row r="396" spans="1:19">
      <c r="A396" s="5" t="str">
        <f t="shared" si="12"/>
        <v/>
      </c>
      <c r="B396" s="6"/>
      <c r="C396" s="5"/>
      <c r="D396" s="5"/>
      <c r="E396" s="5"/>
      <c r="F396" s="5"/>
      <c r="G396" s="5"/>
      <c r="H396" s="5"/>
      <c r="I396" s="5" t="str">
        <f ca="1">IFERROR(_xludf.XLOOKUP(H396,BD_VACANTES!A:A,BD_VACANTES!C:C,""),"")</f>
        <v/>
      </c>
      <c r="J396" s="5" t="str">
        <f ca="1">IFERROR(_xludf.XLOOKUP(H396,BD_VACANTES!A:A,BD_VACANTES!E:E,""),"")</f>
        <v/>
      </c>
      <c r="K396" s="5"/>
      <c r="L396" s="5"/>
      <c r="M396" s="5"/>
      <c r="N396" s="5"/>
      <c r="O396" s="5"/>
      <c r="P396" s="6"/>
      <c r="Q396" s="8" t="str">
        <f t="shared" ca="1" si="13"/>
        <v/>
      </c>
      <c r="R396" s="7"/>
      <c r="S396" s="5"/>
    </row>
    <row r="397" spans="1:19">
      <c r="A397" s="5" t="str">
        <f t="shared" si="12"/>
        <v/>
      </c>
      <c r="B397" s="6"/>
      <c r="C397" s="5"/>
      <c r="D397" s="5"/>
      <c r="E397" s="5"/>
      <c r="F397" s="5"/>
      <c r="G397" s="5"/>
      <c r="H397" s="5"/>
      <c r="I397" s="5" t="str">
        <f ca="1">IFERROR(_xludf.XLOOKUP(H397,BD_VACANTES!A:A,BD_VACANTES!C:C,""),"")</f>
        <v/>
      </c>
      <c r="J397" s="5" t="str">
        <f ca="1">IFERROR(_xludf.XLOOKUP(H397,BD_VACANTES!A:A,BD_VACANTES!E:E,""),"")</f>
        <v/>
      </c>
      <c r="K397" s="5"/>
      <c r="L397" s="5"/>
      <c r="M397" s="5"/>
      <c r="N397" s="5"/>
      <c r="O397" s="5"/>
      <c r="P397" s="6"/>
      <c r="Q397" s="8" t="str">
        <f t="shared" ca="1" si="13"/>
        <v/>
      </c>
      <c r="R397" s="7"/>
      <c r="S397" s="5"/>
    </row>
    <row r="398" spans="1:19">
      <c r="A398" s="5" t="str">
        <f t="shared" si="12"/>
        <v/>
      </c>
      <c r="B398" s="6"/>
      <c r="C398" s="5"/>
      <c r="D398" s="5"/>
      <c r="E398" s="5"/>
      <c r="F398" s="5"/>
      <c r="G398" s="5"/>
      <c r="H398" s="5"/>
      <c r="I398" s="5" t="str">
        <f ca="1">IFERROR(_xludf.XLOOKUP(H398,BD_VACANTES!A:A,BD_VACANTES!C:C,""),"")</f>
        <v/>
      </c>
      <c r="J398" s="5" t="str">
        <f ca="1">IFERROR(_xludf.XLOOKUP(H398,BD_VACANTES!A:A,BD_VACANTES!E:E,""),"")</f>
        <v/>
      </c>
      <c r="K398" s="5"/>
      <c r="L398" s="5"/>
      <c r="M398" s="5"/>
      <c r="N398" s="5"/>
      <c r="O398" s="5"/>
      <c r="P398" s="6"/>
      <c r="Q398" s="8" t="str">
        <f t="shared" ca="1" si="13"/>
        <v/>
      </c>
      <c r="R398" s="7"/>
      <c r="S398" s="5"/>
    </row>
    <row r="399" spans="1:19">
      <c r="A399" s="5" t="str">
        <f t="shared" si="12"/>
        <v/>
      </c>
      <c r="B399" s="6"/>
      <c r="C399" s="5"/>
      <c r="D399" s="5"/>
      <c r="E399" s="5"/>
      <c r="F399" s="5"/>
      <c r="G399" s="5"/>
      <c r="H399" s="5"/>
      <c r="I399" s="5" t="str">
        <f ca="1">IFERROR(_xludf.XLOOKUP(H399,BD_VACANTES!A:A,BD_VACANTES!C:C,""),"")</f>
        <v/>
      </c>
      <c r="J399" s="5" t="str">
        <f ca="1">IFERROR(_xludf.XLOOKUP(H399,BD_VACANTES!A:A,BD_VACANTES!E:E,""),"")</f>
        <v/>
      </c>
      <c r="K399" s="5"/>
      <c r="L399" s="5"/>
      <c r="M399" s="5"/>
      <c r="N399" s="5"/>
      <c r="O399" s="5"/>
      <c r="P399" s="6"/>
      <c r="Q399" s="8" t="str">
        <f t="shared" ca="1" si="13"/>
        <v/>
      </c>
      <c r="R399" s="7"/>
      <c r="S399" s="5"/>
    </row>
    <row r="400" spans="1:19">
      <c r="A400" s="5" t="str">
        <f t="shared" si="12"/>
        <v/>
      </c>
      <c r="B400" s="6"/>
      <c r="C400" s="5"/>
      <c r="D400" s="5"/>
      <c r="E400" s="5"/>
      <c r="F400" s="5"/>
      <c r="G400" s="5"/>
      <c r="H400" s="5"/>
      <c r="I400" s="5" t="str">
        <f ca="1">IFERROR(_xludf.XLOOKUP(H400,BD_VACANTES!A:A,BD_VACANTES!C:C,""),"")</f>
        <v/>
      </c>
      <c r="J400" s="5" t="str">
        <f ca="1">IFERROR(_xludf.XLOOKUP(H400,BD_VACANTES!A:A,BD_VACANTES!E:E,""),"")</f>
        <v/>
      </c>
      <c r="K400" s="5"/>
      <c r="L400" s="5"/>
      <c r="M400" s="5"/>
      <c r="N400" s="5"/>
      <c r="O400" s="5"/>
      <c r="P400" s="6"/>
      <c r="Q400" s="8" t="str">
        <f t="shared" ca="1" si="13"/>
        <v/>
      </c>
      <c r="R400" s="7"/>
      <c r="S400" s="5"/>
    </row>
    <row r="401" spans="1:19">
      <c r="A401" s="5" t="str">
        <f t="shared" si="12"/>
        <v/>
      </c>
      <c r="B401" s="6"/>
      <c r="C401" s="5"/>
      <c r="D401" s="5"/>
      <c r="E401" s="5"/>
      <c r="F401" s="5"/>
      <c r="G401" s="5"/>
      <c r="H401" s="5"/>
      <c r="I401" s="5" t="str">
        <f ca="1">IFERROR(_xludf.XLOOKUP(H401,BD_VACANTES!A:A,BD_VACANTES!C:C,""),"")</f>
        <v/>
      </c>
      <c r="J401" s="5" t="str">
        <f ca="1">IFERROR(_xludf.XLOOKUP(H401,BD_VACANTES!A:A,BD_VACANTES!E:E,""),"")</f>
        <v/>
      </c>
      <c r="K401" s="5"/>
      <c r="L401" s="5"/>
      <c r="M401" s="5"/>
      <c r="N401" s="5"/>
      <c r="O401" s="5"/>
      <c r="P401" s="6"/>
      <c r="Q401" s="8" t="str">
        <f t="shared" ca="1" si="13"/>
        <v/>
      </c>
      <c r="R401" s="7"/>
      <c r="S401" s="5"/>
    </row>
    <row r="402" spans="1:19">
      <c r="A402" s="5" t="str">
        <f t="shared" si="12"/>
        <v/>
      </c>
      <c r="B402" s="6"/>
      <c r="C402" s="5"/>
      <c r="D402" s="5"/>
      <c r="E402" s="5"/>
      <c r="F402" s="5"/>
      <c r="G402" s="5"/>
      <c r="H402" s="5"/>
      <c r="I402" s="5" t="str">
        <f ca="1">IFERROR(_xludf.XLOOKUP(H402,BD_VACANTES!A:A,BD_VACANTES!C:C,""),"")</f>
        <v/>
      </c>
      <c r="J402" s="5" t="str">
        <f ca="1">IFERROR(_xludf.XLOOKUP(H402,BD_VACANTES!A:A,BD_VACANTES!E:E,""),"")</f>
        <v/>
      </c>
      <c r="K402" s="5"/>
      <c r="L402" s="5"/>
      <c r="M402" s="5"/>
      <c r="N402" s="5"/>
      <c r="O402" s="5"/>
      <c r="P402" s="6"/>
      <c r="Q402" s="8" t="str">
        <f t="shared" ca="1" si="13"/>
        <v/>
      </c>
      <c r="R402" s="7"/>
      <c r="S402" s="5"/>
    </row>
    <row r="403" spans="1:19">
      <c r="A403" s="5" t="str">
        <f t="shared" si="12"/>
        <v/>
      </c>
      <c r="B403" s="6"/>
      <c r="C403" s="5"/>
      <c r="D403" s="5"/>
      <c r="E403" s="5"/>
      <c r="F403" s="5"/>
      <c r="G403" s="5"/>
      <c r="H403" s="5"/>
      <c r="I403" s="5" t="str">
        <f ca="1">IFERROR(_xludf.XLOOKUP(H403,BD_VACANTES!A:A,BD_VACANTES!C:C,""),"")</f>
        <v/>
      </c>
      <c r="J403" s="5" t="str">
        <f ca="1">IFERROR(_xludf.XLOOKUP(H403,BD_VACANTES!A:A,BD_VACANTES!E:E,""),"")</f>
        <v/>
      </c>
      <c r="K403" s="5"/>
      <c r="L403" s="5"/>
      <c r="M403" s="5"/>
      <c r="N403" s="5"/>
      <c r="O403" s="5"/>
      <c r="P403" s="6"/>
      <c r="Q403" s="8" t="str">
        <f t="shared" ca="1" si="13"/>
        <v/>
      </c>
      <c r="R403" s="7"/>
      <c r="S403" s="5"/>
    </row>
    <row r="404" spans="1:19">
      <c r="A404" s="5" t="str">
        <f t="shared" si="12"/>
        <v/>
      </c>
      <c r="B404" s="6"/>
      <c r="C404" s="5"/>
      <c r="D404" s="5"/>
      <c r="E404" s="5"/>
      <c r="F404" s="5"/>
      <c r="G404" s="5"/>
      <c r="H404" s="5"/>
      <c r="I404" s="5" t="str">
        <f ca="1">IFERROR(_xludf.XLOOKUP(H404,BD_VACANTES!A:A,BD_VACANTES!C:C,""),"")</f>
        <v/>
      </c>
      <c r="J404" s="5" t="str">
        <f ca="1">IFERROR(_xludf.XLOOKUP(H404,BD_VACANTES!A:A,BD_VACANTES!E:E,""),"")</f>
        <v/>
      </c>
      <c r="K404" s="5"/>
      <c r="L404" s="5"/>
      <c r="M404" s="5"/>
      <c r="N404" s="5"/>
      <c r="O404" s="5"/>
      <c r="P404" s="6"/>
      <c r="Q404" s="8" t="str">
        <f t="shared" ca="1" si="13"/>
        <v/>
      </c>
      <c r="R404" s="7"/>
      <c r="S404" s="5"/>
    </row>
    <row r="405" spans="1:19">
      <c r="A405" s="5" t="str">
        <f t="shared" si="12"/>
        <v/>
      </c>
      <c r="B405" s="6"/>
      <c r="C405" s="5"/>
      <c r="D405" s="5"/>
      <c r="E405" s="5"/>
      <c r="F405" s="5"/>
      <c r="G405" s="5"/>
      <c r="H405" s="5"/>
      <c r="I405" s="5" t="str">
        <f ca="1">IFERROR(_xludf.XLOOKUP(H405,BD_VACANTES!A:A,BD_VACANTES!C:C,""),"")</f>
        <v/>
      </c>
      <c r="J405" s="5" t="str">
        <f ca="1">IFERROR(_xludf.XLOOKUP(H405,BD_VACANTES!A:A,BD_VACANTES!E:E,""),"")</f>
        <v/>
      </c>
      <c r="K405" s="5"/>
      <c r="L405" s="5"/>
      <c r="M405" s="5"/>
      <c r="N405" s="5"/>
      <c r="O405" s="5"/>
      <c r="P405" s="6"/>
      <c r="Q405" s="8" t="str">
        <f t="shared" ca="1" si="13"/>
        <v/>
      </c>
      <c r="R405" s="7"/>
      <c r="S405" s="5"/>
    </row>
    <row r="406" spans="1:19">
      <c r="A406" s="5" t="str">
        <f t="shared" si="12"/>
        <v/>
      </c>
      <c r="B406" s="6"/>
      <c r="C406" s="5"/>
      <c r="D406" s="5"/>
      <c r="E406" s="5"/>
      <c r="F406" s="5"/>
      <c r="G406" s="5"/>
      <c r="H406" s="5"/>
      <c r="I406" s="5" t="str">
        <f ca="1">IFERROR(_xludf.XLOOKUP(H406,BD_VACANTES!A:A,BD_VACANTES!C:C,""),"")</f>
        <v/>
      </c>
      <c r="J406" s="5" t="str">
        <f ca="1">IFERROR(_xludf.XLOOKUP(H406,BD_VACANTES!A:A,BD_VACANTES!E:E,""),"")</f>
        <v/>
      </c>
      <c r="K406" s="5"/>
      <c r="L406" s="5"/>
      <c r="M406" s="5"/>
      <c r="N406" s="5"/>
      <c r="O406" s="5"/>
      <c r="P406" s="6"/>
      <c r="Q406" s="8" t="str">
        <f t="shared" ca="1" si="13"/>
        <v/>
      </c>
      <c r="R406" s="7"/>
      <c r="S406" s="5"/>
    </row>
    <row r="407" spans="1:19">
      <c r="A407" s="5" t="str">
        <f t="shared" si="12"/>
        <v/>
      </c>
      <c r="B407" s="6"/>
      <c r="C407" s="5"/>
      <c r="D407" s="5"/>
      <c r="E407" s="5"/>
      <c r="F407" s="5"/>
      <c r="G407" s="5"/>
      <c r="H407" s="5"/>
      <c r="I407" s="5" t="str">
        <f ca="1">IFERROR(_xludf.XLOOKUP(H407,BD_VACANTES!A:A,BD_VACANTES!C:C,""),"")</f>
        <v/>
      </c>
      <c r="J407" s="5" t="str">
        <f ca="1">IFERROR(_xludf.XLOOKUP(H407,BD_VACANTES!A:A,BD_VACANTES!E:E,""),"")</f>
        <v/>
      </c>
      <c r="K407" s="5"/>
      <c r="L407" s="5"/>
      <c r="M407" s="5"/>
      <c r="N407" s="5"/>
      <c r="O407" s="5"/>
      <c r="P407" s="6"/>
      <c r="Q407" s="8" t="str">
        <f t="shared" ca="1" si="13"/>
        <v/>
      </c>
      <c r="R407" s="7"/>
      <c r="S407" s="5"/>
    </row>
    <row r="408" spans="1:19">
      <c r="A408" s="5" t="str">
        <f t="shared" si="12"/>
        <v/>
      </c>
      <c r="B408" s="6"/>
      <c r="C408" s="5"/>
      <c r="D408" s="5"/>
      <c r="E408" s="5"/>
      <c r="F408" s="5"/>
      <c r="G408" s="5"/>
      <c r="H408" s="5"/>
      <c r="I408" s="5" t="str">
        <f ca="1">IFERROR(_xludf.XLOOKUP(H408,BD_VACANTES!A:A,BD_VACANTES!C:C,""),"")</f>
        <v/>
      </c>
      <c r="J408" s="5" t="str">
        <f ca="1">IFERROR(_xludf.XLOOKUP(H408,BD_VACANTES!A:A,BD_VACANTES!E:E,""),"")</f>
        <v/>
      </c>
      <c r="K408" s="5"/>
      <c r="L408" s="5"/>
      <c r="M408" s="5"/>
      <c r="N408" s="5"/>
      <c r="O408" s="5"/>
      <c r="P408" s="6"/>
      <c r="Q408" s="8" t="str">
        <f t="shared" ca="1" si="13"/>
        <v/>
      </c>
      <c r="R408" s="7"/>
      <c r="S408" s="5"/>
    </row>
    <row r="409" spans="1:19">
      <c r="A409" s="5" t="str">
        <f t="shared" si="12"/>
        <v/>
      </c>
      <c r="B409" s="6"/>
      <c r="C409" s="5"/>
      <c r="D409" s="5"/>
      <c r="E409" s="5"/>
      <c r="F409" s="5"/>
      <c r="G409" s="5"/>
      <c r="H409" s="5"/>
      <c r="I409" s="5" t="str">
        <f ca="1">IFERROR(_xludf.XLOOKUP(H409,BD_VACANTES!A:A,BD_VACANTES!C:C,""),"")</f>
        <v/>
      </c>
      <c r="J409" s="5" t="str">
        <f ca="1">IFERROR(_xludf.XLOOKUP(H409,BD_VACANTES!A:A,BD_VACANTES!E:E,""),"")</f>
        <v/>
      </c>
      <c r="K409" s="5"/>
      <c r="L409" s="5"/>
      <c r="M409" s="5"/>
      <c r="N409" s="5"/>
      <c r="O409" s="5"/>
      <c r="P409" s="6"/>
      <c r="Q409" s="8" t="str">
        <f t="shared" ca="1" si="13"/>
        <v/>
      </c>
      <c r="R409" s="7"/>
      <c r="S409" s="5"/>
    </row>
    <row r="410" spans="1:19">
      <c r="A410" s="5" t="str">
        <f t="shared" si="12"/>
        <v/>
      </c>
      <c r="B410" s="6"/>
      <c r="C410" s="5"/>
      <c r="D410" s="5"/>
      <c r="E410" s="5"/>
      <c r="F410" s="5"/>
      <c r="G410" s="5"/>
      <c r="H410" s="5"/>
      <c r="I410" s="5" t="str">
        <f ca="1">IFERROR(_xludf.XLOOKUP(H410,BD_VACANTES!A:A,BD_VACANTES!C:C,""),"")</f>
        <v/>
      </c>
      <c r="J410" s="5" t="str">
        <f ca="1">IFERROR(_xludf.XLOOKUP(H410,BD_VACANTES!A:A,BD_VACANTES!E:E,""),"")</f>
        <v/>
      </c>
      <c r="K410" s="5"/>
      <c r="L410" s="5"/>
      <c r="M410" s="5"/>
      <c r="N410" s="5"/>
      <c r="O410" s="5"/>
      <c r="P410" s="6"/>
      <c r="Q410" s="8" t="str">
        <f t="shared" ca="1" si="13"/>
        <v/>
      </c>
      <c r="R410" s="7"/>
      <c r="S410" s="5"/>
    </row>
    <row r="411" spans="1:19">
      <c r="A411" s="5" t="str">
        <f t="shared" si="12"/>
        <v/>
      </c>
      <c r="B411" s="6"/>
      <c r="C411" s="5"/>
      <c r="D411" s="5"/>
      <c r="E411" s="5"/>
      <c r="F411" s="5"/>
      <c r="G411" s="5"/>
      <c r="H411" s="5"/>
      <c r="I411" s="5" t="str">
        <f ca="1">IFERROR(_xludf.XLOOKUP(H411,BD_VACANTES!A:A,BD_VACANTES!C:C,""),"")</f>
        <v/>
      </c>
      <c r="J411" s="5" t="str">
        <f ca="1">IFERROR(_xludf.XLOOKUP(H411,BD_VACANTES!A:A,BD_VACANTES!E:E,""),"")</f>
        <v/>
      </c>
      <c r="K411" s="5"/>
      <c r="L411" s="5"/>
      <c r="M411" s="5"/>
      <c r="N411" s="5"/>
      <c r="O411" s="5"/>
      <c r="P411" s="6"/>
      <c r="Q411" s="8" t="str">
        <f t="shared" ca="1" si="13"/>
        <v/>
      </c>
      <c r="R411" s="7"/>
      <c r="S411" s="5"/>
    </row>
    <row r="412" spans="1:19">
      <c r="A412" s="5" t="str">
        <f t="shared" si="12"/>
        <v/>
      </c>
      <c r="B412" s="6"/>
      <c r="C412" s="5"/>
      <c r="D412" s="5"/>
      <c r="E412" s="5"/>
      <c r="F412" s="5"/>
      <c r="G412" s="5"/>
      <c r="H412" s="5"/>
      <c r="I412" s="5" t="str">
        <f ca="1">IFERROR(_xludf.XLOOKUP(H412,BD_VACANTES!A:A,BD_VACANTES!C:C,""),"")</f>
        <v/>
      </c>
      <c r="J412" s="5" t="str">
        <f ca="1">IFERROR(_xludf.XLOOKUP(H412,BD_VACANTES!A:A,BD_VACANTES!E:E,""),"")</f>
        <v/>
      </c>
      <c r="K412" s="5"/>
      <c r="L412" s="5"/>
      <c r="M412" s="5"/>
      <c r="N412" s="5"/>
      <c r="O412" s="5"/>
      <c r="P412" s="6"/>
      <c r="Q412" s="8" t="str">
        <f t="shared" ca="1" si="13"/>
        <v/>
      </c>
      <c r="R412" s="7"/>
      <c r="S412" s="5"/>
    </row>
    <row r="413" spans="1:19">
      <c r="A413" s="5" t="str">
        <f t="shared" si="12"/>
        <v/>
      </c>
      <c r="B413" s="6"/>
      <c r="C413" s="5"/>
      <c r="D413" s="5"/>
      <c r="E413" s="5"/>
      <c r="F413" s="5"/>
      <c r="G413" s="5"/>
      <c r="H413" s="5"/>
      <c r="I413" s="5" t="str">
        <f ca="1">IFERROR(_xludf.XLOOKUP(H413,BD_VACANTES!A:A,BD_VACANTES!C:C,""),"")</f>
        <v/>
      </c>
      <c r="J413" s="5" t="str">
        <f ca="1">IFERROR(_xludf.XLOOKUP(H413,BD_VACANTES!A:A,BD_VACANTES!E:E,""),"")</f>
        <v/>
      </c>
      <c r="K413" s="5"/>
      <c r="L413" s="5"/>
      <c r="M413" s="5"/>
      <c r="N413" s="5"/>
      <c r="O413" s="5"/>
      <c r="P413" s="6"/>
      <c r="Q413" s="8" t="str">
        <f t="shared" ca="1" si="13"/>
        <v/>
      </c>
      <c r="R413" s="7"/>
      <c r="S413" s="5"/>
    </row>
    <row r="414" spans="1:19">
      <c r="A414" s="5" t="str">
        <f t="shared" si="12"/>
        <v/>
      </c>
      <c r="B414" s="6"/>
      <c r="C414" s="5"/>
      <c r="D414" s="5"/>
      <c r="E414" s="5"/>
      <c r="F414" s="5"/>
      <c r="G414" s="5"/>
      <c r="H414" s="5"/>
      <c r="I414" s="5" t="str">
        <f ca="1">IFERROR(_xludf.XLOOKUP(H414,BD_VACANTES!A:A,BD_VACANTES!C:C,""),"")</f>
        <v/>
      </c>
      <c r="J414" s="5" t="str">
        <f ca="1">IFERROR(_xludf.XLOOKUP(H414,BD_VACANTES!A:A,BD_VACANTES!E:E,""),"")</f>
        <v/>
      </c>
      <c r="K414" s="5"/>
      <c r="L414" s="5"/>
      <c r="M414" s="5"/>
      <c r="N414" s="5"/>
      <c r="O414" s="5"/>
      <c r="P414" s="6"/>
      <c r="Q414" s="8" t="str">
        <f t="shared" ca="1" si="13"/>
        <v/>
      </c>
      <c r="R414" s="7"/>
      <c r="S414" s="5"/>
    </row>
    <row r="415" spans="1:19">
      <c r="A415" s="5" t="str">
        <f t="shared" si="12"/>
        <v/>
      </c>
      <c r="B415" s="6"/>
      <c r="C415" s="5"/>
      <c r="D415" s="5"/>
      <c r="E415" s="5"/>
      <c r="F415" s="5"/>
      <c r="G415" s="5"/>
      <c r="H415" s="5"/>
      <c r="I415" s="5" t="str">
        <f ca="1">IFERROR(_xludf.XLOOKUP(H415,BD_VACANTES!A:A,BD_VACANTES!C:C,""),"")</f>
        <v/>
      </c>
      <c r="J415" s="5" t="str">
        <f ca="1">IFERROR(_xludf.XLOOKUP(H415,BD_VACANTES!A:A,BD_VACANTES!E:E,""),"")</f>
        <v/>
      </c>
      <c r="K415" s="5"/>
      <c r="L415" s="5"/>
      <c r="M415" s="5"/>
      <c r="N415" s="5"/>
      <c r="O415" s="5"/>
      <c r="P415" s="6"/>
      <c r="Q415" s="8" t="str">
        <f t="shared" ca="1" si="13"/>
        <v/>
      </c>
      <c r="R415" s="7"/>
      <c r="S415" s="5"/>
    </row>
    <row r="416" spans="1:19">
      <c r="A416" s="5" t="str">
        <f t="shared" si="12"/>
        <v/>
      </c>
      <c r="B416" s="6"/>
      <c r="C416" s="5"/>
      <c r="D416" s="5"/>
      <c r="E416" s="5"/>
      <c r="F416" s="5"/>
      <c r="G416" s="5"/>
      <c r="H416" s="5"/>
      <c r="I416" s="5" t="str">
        <f ca="1">IFERROR(_xludf.XLOOKUP(H416,BD_VACANTES!A:A,BD_VACANTES!C:C,""),"")</f>
        <v/>
      </c>
      <c r="J416" s="5" t="str">
        <f ca="1">IFERROR(_xludf.XLOOKUP(H416,BD_VACANTES!A:A,BD_VACANTES!E:E,""),"")</f>
        <v/>
      </c>
      <c r="K416" s="5"/>
      <c r="L416" s="5"/>
      <c r="M416" s="5"/>
      <c r="N416" s="5"/>
      <c r="O416" s="5"/>
      <c r="P416" s="6"/>
      <c r="Q416" s="8" t="str">
        <f t="shared" ca="1" si="13"/>
        <v/>
      </c>
      <c r="R416" s="7"/>
      <c r="S416" s="5"/>
    </row>
    <row r="417" spans="1:19">
      <c r="A417" s="5" t="str">
        <f t="shared" si="12"/>
        <v/>
      </c>
      <c r="B417" s="6"/>
      <c r="C417" s="5"/>
      <c r="D417" s="5"/>
      <c r="E417" s="5"/>
      <c r="F417" s="5"/>
      <c r="G417" s="5"/>
      <c r="H417" s="5"/>
      <c r="I417" s="5" t="str">
        <f ca="1">IFERROR(_xludf.XLOOKUP(H417,BD_VACANTES!A:A,BD_VACANTES!C:C,""),"")</f>
        <v/>
      </c>
      <c r="J417" s="5" t="str">
        <f ca="1">IFERROR(_xludf.XLOOKUP(H417,BD_VACANTES!A:A,BD_VACANTES!E:E,""),"")</f>
        <v/>
      </c>
      <c r="K417" s="5"/>
      <c r="L417" s="5"/>
      <c r="M417" s="5"/>
      <c r="N417" s="5"/>
      <c r="O417" s="5"/>
      <c r="P417" s="6"/>
      <c r="Q417" s="8" t="str">
        <f t="shared" ca="1" si="13"/>
        <v/>
      </c>
      <c r="R417" s="7"/>
      <c r="S417" s="5"/>
    </row>
    <row r="418" spans="1:19">
      <c r="A418" s="5" t="str">
        <f t="shared" si="12"/>
        <v/>
      </c>
      <c r="B418" s="6"/>
      <c r="C418" s="5"/>
      <c r="D418" s="5"/>
      <c r="E418" s="5"/>
      <c r="F418" s="5"/>
      <c r="G418" s="5"/>
      <c r="H418" s="5"/>
      <c r="I418" s="5" t="str">
        <f ca="1">IFERROR(_xludf.XLOOKUP(H418,BD_VACANTES!A:A,BD_VACANTES!C:C,""),"")</f>
        <v/>
      </c>
      <c r="J418" s="5" t="str">
        <f ca="1">IFERROR(_xludf.XLOOKUP(H418,BD_VACANTES!A:A,BD_VACANTES!E:E,""),"")</f>
        <v/>
      </c>
      <c r="K418" s="5"/>
      <c r="L418" s="5"/>
      <c r="M418" s="5"/>
      <c r="N418" s="5"/>
      <c r="O418" s="5"/>
      <c r="P418" s="6"/>
      <c r="Q418" s="8" t="str">
        <f t="shared" ca="1" si="13"/>
        <v/>
      </c>
      <c r="R418" s="7"/>
      <c r="S418" s="5"/>
    </row>
    <row r="419" spans="1:19">
      <c r="A419" s="5" t="str">
        <f t="shared" si="12"/>
        <v/>
      </c>
      <c r="B419" s="6"/>
      <c r="C419" s="5"/>
      <c r="D419" s="5"/>
      <c r="E419" s="5"/>
      <c r="F419" s="5"/>
      <c r="G419" s="5"/>
      <c r="H419" s="5"/>
      <c r="I419" s="5" t="str">
        <f ca="1">IFERROR(_xludf.XLOOKUP(H419,BD_VACANTES!A:A,BD_VACANTES!C:C,""),"")</f>
        <v/>
      </c>
      <c r="J419" s="5" t="str">
        <f ca="1">IFERROR(_xludf.XLOOKUP(H419,BD_VACANTES!A:A,BD_VACANTES!E:E,""),"")</f>
        <v/>
      </c>
      <c r="K419" s="5"/>
      <c r="L419" s="5"/>
      <c r="M419" s="5"/>
      <c r="N419" s="5"/>
      <c r="O419" s="5"/>
      <c r="P419" s="6"/>
      <c r="Q419" s="8" t="str">
        <f t="shared" ca="1" si="13"/>
        <v/>
      </c>
      <c r="R419" s="7"/>
      <c r="S419" s="5"/>
    </row>
    <row r="420" spans="1:19">
      <c r="A420" s="5" t="str">
        <f t="shared" si="12"/>
        <v/>
      </c>
      <c r="B420" s="6"/>
      <c r="C420" s="5"/>
      <c r="D420" s="5"/>
      <c r="E420" s="5"/>
      <c r="F420" s="5"/>
      <c r="G420" s="5"/>
      <c r="H420" s="5"/>
      <c r="I420" s="5" t="str">
        <f ca="1">IFERROR(_xludf.XLOOKUP(H420,BD_VACANTES!A:A,BD_VACANTES!C:C,""),"")</f>
        <v/>
      </c>
      <c r="J420" s="5" t="str">
        <f ca="1">IFERROR(_xludf.XLOOKUP(H420,BD_VACANTES!A:A,BD_VACANTES!E:E,""),"")</f>
        <v/>
      </c>
      <c r="K420" s="5"/>
      <c r="L420" s="5"/>
      <c r="M420" s="5"/>
      <c r="N420" s="5"/>
      <c r="O420" s="5"/>
      <c r="P420" s="6"/>
      <c r="Q420" s="8" t="str">
        <f t="shared" ca="1" si="13"/>
        <v/>
      </c>
      <c r="R420" s="7"/>
      <c r="S420" s="5"/>
    </row>
    <row r="421" spans="1:19">
      <c r="A421" s="5" t="str">
        <f t="shared" si="12"/>
        <v/>
      </c>
      <c r="B421" s="6"/>
      <c r="C421" s="5"/>
      <c r="D421" s="5"/>
      <c r="E421" s="5"/>
      <c r="F421" s="5"/>
      <c r="G421" s="5"/>
      <c r="H421" s="5"/>
      <c r="I421" s="5" t="str">
        <f ca="1">IFERROR(_xludf.XLOOKUP(H421,BD_VACANTES!A:A,BD_VACANTES!C:C,""),"")</f>
        <v/>
      </c>
      <c r="J421" s="5" t="str">
        <f ca="1">IFERROR(_xludf.XLOOKUP(H421,BD_VACANTES!A:A,BD_VACANTES!E:E,""),"")</f>
        <v/>
      </c>
      <c r="K421" s="5"/>
      <c r="L421" s="5"/>
      <c r="M421" s="5"/>
      <c r="N421" s="5"/>
      <c r="O421" s="5"/>
      <c r="P421" s="6"/>
      <c r="Q421" s="8" t="str">
        <f t="shared" ca="1" si="13"/>
        <v/>
      </c>
      <c r="R421" s="7"/>
      <c r="S421" s="5"/>
    </row>
    <row r="422" spans="1:19">
      <c r="A422" s="5" t="str">
        <f t="shared" si="12"/>
        <v/>
      </c>
      <c r="B422" s="6"/>
      <c r="C422" s="5"/>
      <c r="D422" s="5"/>
      <c r="E422" s="5"/>
      <c r="F422" s="5"/>
      <c r="G422" s="5"/>
      <c r="H422" s="5"/>
      <c r="I422" s="5" t="str">
        <f ca="1">IFERROR(_xludf.XLOOKUP(H422,BD_VACANTES!A:A,BD_VACANTES!C:C,""),"")</f>
        <v/>
      </c>
      <c r="J422" s="5" t="str">
        <f ca="1">IFERROR(_xludf.XLOOKUP(H422,BD_VACANTES!A:A,BD_VACANTES!E:E,""),"")</f>
        <v/>
      </c>
      <c r="K422" s="5"/>
      <c r="L422" s="5"/>
      <c r="M422" s="5"/>
      <c r="N422" s="5"/>
      <c r="O422" s="5"/>
      <c r="P422" s="6"/>
      <c r="Q422" s="8" t="str">
        <f t="shared" ca="1" si="13"/>
        <v/>
      </c>
      <c r="R422" s="7"/>
      <c r="S422" s="5"/>
    </row>
    <row r="423" spans="1:19">
      <c r="A423" s="5" t="str">
        <f t="shared" si="12"/>
        <v/>
      </c>
      <c r="B423" s="6"/>
      <c r="C423" s="5"/>
      <c r="D423" s="5"/>
      <c r="E423" s="5"/>
      <c r="F423" s="5"/>
      <c r="G423" s="5"/>
      <c r="H423" s="5"/>
      <c r="I423" s="5" t="str">
        <f ca="1">IFERROR(_xludf.XLOOKUP(H423,BD_VACANTES!A:A,BD_VACANTES!C:C,""),"")</f>
        <v/>
      </c>
      <c r="J423" s="5" t="str">
        <f ca="1">IFERROR(_xludf.XLOOKUP(H423,BD_VACANTES!A:A,BD_VACANTES!E:E,""),"")</f>
        <v/>
      </c>
      <c r="K423" s="5"/>
      <c r="L423" s="5"/>
      <c r="M423" s="5"/>
      <c r="N423" s="5"/>
      <c r="O423" s="5"/>
      <c r="P423" s="6"/>
      <c r="Q423" s="8" t="str">
        <f t="shared" ca="1" si="13"/>
        <v/>
      </c>
      <c r="R423" s="7"/>
      <c r="S423" s="5"/>
    </row>
    <row r="424" spans="1:19">
      <c r="A424" s="5" t="str">
        <f t="shared" si="12"/>
        <v/>
      </c>
      <c r="B424" s="6"/>
      <c r="C424" s="5"/>
      <c r="D424" s="5"/>
      <c r="E424" s="5"/>
      <c r="F424" s="5"/>
      <c r="G424" s="5"/>
      <c r="H424" s="5"/>
      <c r="I424" s="5" t="str">
        <f ca="1">IFERROR(_xludf.XLOOKUP(H424,BD_VACANTES!A:A,BD_VACANTES!C:C,""),"")</f>
        <v/>
      </c>
      <c r="J424" s="5" t="str">
        <f ca="1">IFERROR(_xludf.XLOOKUP(H424,BD_VACANTES!A:A,BD_VACANTES!E:E,""),"")</f>
        <v/>
      </c>
      <c r="K424" s="5"/>
      <c r="L424" s="5"/>
      <c r="M424" s="5"/>
      <c r="N424" s="5"/>
      <c r="O424" s="5"/>
      <c r="P424" s="6"/>
      <c r="Q424" s="8" t="str">
        <f t="shared" ca="1" si="13"/>
        <v/>
      </c>
      <c r="R424" s="7"/>
      <c r="S424" s="5"/>
    </row>
    <row r="425" spans="1:19">
      <c r="A425" s="5" t="str">
        <f t="shared" si="12"/>
        <v/>
      </c>
      <c r="B425" s="6"/>
      <c r="C425" s="5"/>
      <c r="D425" s="5"/>
      <c r="E425" s="5"/>
      <c r="F425" s="5"/>
      <c r="G425" s="5"/>
      <c r="H425" s="5"/>
      <c r="I425" s="5" t="str">
        <f ca="1">IFERROR(_xludf.XLOOKUP(H425,BD_VACANTES!A:A,BD_VACANTES!C:C,""),"")</f>
        <v/>
      </c>
      <c r="J425" s="5" t="str">
        <f ca="1">IFERROR(_xludf.XLOOKUP(H425,BD_VACANTES!A:A,BD_VACANTES!E:E,""),"")</f>
        <v/>
      </c>
      <c r="K425" s="5"/>
      <c r="L425" s="5"/>
      <c r="M425" s="5"/>
      <c r="N425" s="5"/>
      <c r="O425" s="5"/>
      <c r="P425" s="6"/>
      <c r="Q425" s="8" t="str">
        <f t="shared" ca="1" si="13"/>
        <v/>
      </c>
      <c r="R425" s="7"/>
      <c r="S425" s="5"/>
    </row>
    <row r="426" spans="1:19">
      <c r="A426" s="5" t="str">
        <f t="shared" si="12"/>
        <v/>
      </c>
      <c r="B426" s="6"/>
      <c r="C426" s="5"/>
      <c r="D426" s="5"/>
      <c r="E426" s="5"/>
      <c r="F426" s="5"/>
      <c r="G426" s="5"/>
      <c r="H426" s="5"/>
      <c r="I426" s="5" t="str">
        <f ca="1">IFERROR(_xludf.XLOOKUP(H426,BD_VACANTES!A:A,BD_VACANTES!C:C,""),"")</f>
        <v/>
      </c>
      <c r="J426" s="5" t="str">
        <f ca="1">IFERROR(_xludf.XLOOKUP(H426,BD_VACANTES!A:A,BD_VACANTES!E:E,""),"")</f>
        <v/>
      </c>
      <c r="K426" s="5"/>
      <c r="L426" s="5"/>
      <c r="M426" s="5"/>
      <c r="N426" s="5"/>
      <c r="O426" s="5"/>
      <c r="P426" s="6"/>
      <c r="Q426" s="8" t="str">
        <f t="shared" ca="1" si="13"/>
        <v/>
      </c>
      <c r="R426" s="7"/>
      <c r="S426" s="5"/>
    </row>
    <row r="427" spans="1:19">
      <c r="A427" s="5" t="str">
        <f t="shared" si="12"/>
        <v/>
      </c>
      <c r="B427" s="6"/>
      <c r="C427" s="5"/>
      <c r="D427" s="5"/>
      <c r="E427" s="5"/>
      <c r="F427" s="5"/>
      <c r="G427" s="5"/>
      <c r="H427" s="5"/>
      <c r="I427" s="5" t="str">
        <f ca="1">IFERROR(_xludf.XLOOKUP(H427,BD_VACANTES!A:A,BD_VACANTES!C:C,""),"")</f>
        <v/>
      </c>
      <c r="J427" s="5" t="str">
        <f ca="1">IFERROR(_xludf.XLOOKUP(H427,BD_VACANTES!A:A,BD_VACANTES!E:E,""),"")</f>
        <v/>
      </c>
      <c r="K427" s="5"/>
      <c r="L427" s="5"/>
      <c r="M427" s="5"/>
      <c r="N427" s="5"/>
      <c r="O427" s="5"/>
      <c r="P427" s="6"/>
      <c r="Q427" s="8" t="str">
        <f t="shared" ca="1" si="13"/>
        <v/>
      </c>
      <c r="R427" s="7"/>
      <c r="S427" s="5"/>
    </row>
    <row r="428" spans="1:19">
      <c r="A428" s="5" t="str">
        <f t="shared" si="12"/>
        <v/>
      </c>
      <c r="B428" s="6"/>
      <c r="C428" s="5"/>
      <c r="D428" s="5"/>
      <c r="E428" s="5"/>
      <c r="F428" s="5"/>
      <c r="G428" s="5"/>
      <c r="H428" s="5"/>
      <c r="I428" s="5" t="str">
        <f ca="1">IFERROR(_xludf.XLOOKUP(H428,BD_VACANTES!A:A,BD_VACANTES!C:C,""),"")</f>
        <v/>
      </c>
      <c r="J428" s="5" t="str">
        <f ca="1">IFERROR(_xludf.XLOOKUP(H428,BD_VACANTES!A:A,BD_VACANTES!E:E,""),"")</f>
        <v/>
      </c>
      <c r="K428" s="5"/>
      <c r="L428" s="5"/>
      <c r="M428" s="5"/>
      <c r="N428" s="5"/>
      <c r="O428" s="5"/>
      <c r="P428" s="6"/>
      <c r="Q428" s="8" t="str">
        <f t="shared" ca="1" si="13"/>
        <v/>
      </c>
      <c r="R428" s="7"/>
      <c r="S428" s="5"/>
    </row>
    <row r="429" spans="1:19">
      <c r="A429" s="5" t="str">
        <f t="shared" si="12"/>
        <v/>
      </c>
      <c r="B429" s="6"/>
      <c r="C429" s="5"/>
      <c r="D429" s="5"/>
      <c r="E429" s="5"/>
      <c r="F429" s="5"/>
      <c r="G429" s="5"/>
      <c r="H429" s="5"/>
      <c r="I429" s="5" t="str">
        <f ca="1">IFERROR(_xludf.XLOOKUP(H429,BD_VACANTES!A:A,BD_VACANTES!C:C,""),"")</f>
        <v/>
      </c>
      <c r="J429" s="5" t="str">
        <f ca="1">IFERROR(_xludf.XLOOKUP(H429,BD_VACANTES!A:A,BD_VACANTES!E:E,""),"")</f>
        <v/>
      </c>
      <c r="K429" s="5"/>
      <c r="L429" s="5"/>
      <c r="M429" s="5"/>
      <c r="N429" s="5"/>
      <c r="O429" s="5"/>
      <c r="P429" s="6"/>
      <c r="Q429" s="8" t="str">
        <f t="shared" ca="1" si="13"/>
        <v/>
      </c>
      <c r="R429" s="7"/>
      <c r="S429" s="5"/>
    </row>
    <row r="430" spans="1:19">
      <c r="A430" s="5" t="str">
        <f t="shared" si="12"/>
        <v/>
      </c>
      <c r="B430" s="6"/>
      <c r="C430" s="5"/>
      <c r="D430" s="5"/>
      <c r="E430" s="5"/>
      <c r="F430" s="5"/>
      <c r="G430" s="5"/>
      <c r="H430" s="5"/>
      <c r="I430" s="5" t="str">
        <f ca="1">IFERROR(_xludf.XLOOKUP(H430,BD_VACANTES!A:A,BD_VACANTES!C:C,""),"")</f>
        <v/>
      </c>
      <c r="J430" s="5" t="str">
        <f ca="1">IFERROR(_xludf.XLOOKUP(H430,BD_VACANTES!A:A,BD_VACANTES!E:E,""),"")</f>
        <v/>
      </c>
      <c r="K430" s="5"/>
      <c r="L430" s="5"/>
      <c r="M430" s="5"/>
      <c r="N430" s="5"/>
      <c r="O430" s="5"/>
      <c r="P430" s="6"/>
      <c r="Q430" s="8" t="str">
        <f t="shared" ca="1" si="13"/>
        <v/>
      </c>
      <c r="R430" s="7"/>
      <c r="S430" s="5"/>
    </row>
    <row r="431" spans="1:19">
      <c r="A431" s="5" t="str">
        <f t="shared" si="12"/>
        <v/>
      </c>
      <c r="B431" s="6"/>
      <c r="C431" s="5"/>
      <c r="D431" s="5"/>
      <c r="E431" s="5"/>
      <c r="F431" s="5"/>
      <c r="G431" s="5"/>
      <c r="H431" s="5"/>
      <c r="I431" s="5" t="str">
        <f ca="1">IFERROR(_xludf.XLOOKUP(H431,BD_VACANTES!A:A,BD_VACANTES!C:C,""),"")</f>
        <v/>
      </c>
      <c r="J431" s="5" t="str">
        <f ca="1">IFERROR(_xludf.XLOOKUP(H431,BD_VACANTES!A:A,BD_VACANTES!E:E,""),"")</f>
        <v/>
      </c>
      <c r="K431" s="5"/>
      <c r="L431" s="5"/>
      <c r="M431" s="5"/>
      <c r="N431" s="5"/>
      <c r="O431" s="5"/>
      <c r="P431" s="6"/>
      <c r="Q431" s="8" t="str">
        <f t="shared" ca="1" si="13"/>
        <v/>
      </c>
      <c r="R431" s="7"/>
      <c r="S431" s="5"/>
    </row>
    <row r="432" spans="1:19">
      <c r="A432" s="5" t="str">
        <f t="shared" si="12"/>
        <v/>
      </c>
      <c r="B432" s="6"/>
      <c r="C432" s="5"/>
      <c r="D432" s="5"/>
      <c r="E432" s="5"/>
      <c r="F432" s="5"/>
      <c r="G432" s="5"/>
      <c r="H432" s="5"/>
      <c r="I432" s="5" t="str">
        <f ca="1">IFERROR(_xludf.XLOOKUP(H432,BD_VACANTES!A:A,BD_VACANTES!C:C,""),"")</f>
        <v/>
      </c>
      <c r="J432" s="5" t="str">
        <f ca="1">IFERROR(_xludf.XLOOKUP(H432,BD_VACANTES!A:A,BD_VACANTES!E:E,""),"")</f>
        <v/>
      </c>
      <c r="K432" s="5"/>
      <c r="L432" s="5"/>
      <c r="M432" s="5"/>
      <c r="N432" s="5"/>
      <c r="O432" s="5"/>
      <c r="P432" s="6"/>
      <c r="Q432" s="8" t="str">
        <f t="shared" ca="1" si="13"/>
        <v/>
      </c>
      <c r="R432" s="7"/>
      <c r="S432" s="5"/>
    </row>
    <row r="433" spans="1:19">
      <c r="A433" s="5" t="str">
        <f t="shared" si="12"/>
        <v/>
      </c>
      <c r="B433" s="6"/>
      <c r="C433" s="5"/>
      <c r="D433" s="5"/>
      <c r="E433" s="5"/>
      <c r="F433" s="5"/>
      <c r="G433" s="5"/>
      <c r="H433" s="5"/>
      <c r="I433" s="5" t="str">
        <f ca="1">IFERROR(_xludf.XLOOKUP(H433,BD_VACANTES!A:A,BD_VACANTES!C:C,""),"")</f>
        <v/>
      </c>
      <c r="J433" s="5" t="str">
        <f ca="1">IFERROR(_xludf.XLOOKUP(H433,BD_VACANTES!A:A,BD_VACANTES!E:E,""),"")</f>
        <v/>
      </c>
      <c r="K433" s="5"/>
      <c r="L433" s="5"/>
      <c r="M433" s="5"/>
      <c r="N433" s="5"/>
      <c r="O433" s="5"/>
      <c r="P433" s="6"/>
      <c r="Q433" s="8" t="str">
        <f t="shared" ca="1" si="13"/>
        <v/>
      </c>
      <c r="R433" s="7"/>
      <c r="S433" s="5"/>
    </row>
    <row r="434" spans="1:19">
      <c r="A434" s="5" t="str">
        <f t="shared" si="12"/>
        <v/>
      </c>
      <c r="B434" s="6"/>
      <c r="C434" s="5"/>
      <c r="D434" s="5"/>
      <c r="E434" s="5"/>
      <c r="F434" s="5"/>
      <c r="G434" s="5"/>
      <c r="H434" s="5"/>
      <c r="I434" s="5" t="str">
        <f ca="1">IFERROR(_xludf.XLOOKUP(H434,BD_VACANTES!A:A,BD_VACANTES!C:C,""),"")</f>
        <v/>
      </c>
      <c r="J434" s="5" t="str">
        <f ca="1">IFERROR(_xludf.XLOOKUP(H434,BD_VACANTES!A:A,BD_VACANTES!E:E,""),"")</f>
        <v/>
      </c>
      <c r="K434" s="5"/>
      <c r="L434" s="5"/>
      <c r="M434" s="5"/>
      <c r="N434" s="5"/>
      <c r="O434" s="5"/>
      <c r="P434" s="6"/>
      <c r="Q434" s="8" t="str">
        <f t="shared" ca="1" si="13"/>
        <v/>
      </c>
      <c r="R434" s="7"/>
      <c r="S434" s="5"/>
    </row>
    <row r="435" spans="1:19">
      <c r="A435" s="5" t="str">
        <f t="shared" si="12"/>
        <v/>
      </c>
      <c r="B435" s="6"/>
      <c r="C435" s="5"/>
      <c r="D435" s="5"/>
      <c r="E435" s="5"/>
      <c r="F435" s="5"/>
      <c r="G435" s="5"/>
      <c r="H435" s="5"/>
      <c r="I435" s="5" t="str">
        <f ca="1">IFERROR(_xludf.XLOOKUP(H435,BD_VACANTES!A:A,BD_VACANTES!C:C,""),"")</f>
        <v/>
      </c>
      <c r="J435" s="5" t="str">
        <f ca="1">IFERROR(_xludf.XLOOKUP(H435,BD_VACANTES!A:A,BD_VACANTES!E:E,""),"")</f>
        <v/>
      </c>
      <c r="K435" s="5"/>
      <c r="L435" s="5"/>
      <c r="M435" s="5"/>
      <c r="N435" s="5"/>
      <c r="O435" s="5"/>
      <c r="P435" s="6"/>
      <c r="Q435" s="8" t="str">
        <f t="shared" ca="1" si="13"/>
        <v/>
      </c>
      <c r="R435" s="7"/>
      <c r="S435" s="5"/>
    </row>
    <row r="436" spans="1:19">
      <c r="A436" s="5" t="str">
        <f t="shared" si="12"/>
        <v/>
      </c>
      <c r="B436" s="6"/>
      <c r="C436" s="5"/>
      <c r="D436" s="5"/>
      <c r="E436" s="5"/>
      <c r="F436" s="5"/>
      <c r="G436" s="5"/>
      <c r="H436" s="5"/>
      <c r="I436" s="5" t="str">
        <f ca="1">IFERROR(_xludf.XLOOKUP(H436,BD_VACANTES!A:A,BD_VACANTES!C:C,""),"")</f>
        <v/>
      </c>
      <c r="J436" s="5" t="str">
        <f ca="1">IFERROR(_xludf.XLOOKUP(H436,BD_VACANTES!A:A,BD_VACANTES!E:E,""),"")</f>
        <v/>
      </c>
      <c r="K436" s="5"/>
      <c r="L436" s="5"/>
      <c r="M436" s="5"/>
      <c r="N436" s="5"/>
      <c r="O436" s="5"/>
      <c r="P436" s="6"/>
      <c r="Q436" s="8" t="str">
        <f t="shared" ca="1" si="13"/>
        <v/>
      </c>
      <c r="R436" s="7"/>
      <c r="S436" s="5"/>
    </row>
    <row r="437" spans="1:19">
      <c r="A437" s="5" t="str">
        <f t="shared" si="12"/>
        <v/>
      </c>
      <c r="B437" s="6"/>
      <c r="C437" s="5"/>
      <c r="D437" s="5"/>
      <c r="E437" s="5"/>
      <c r="F437" s="5"/>
      <c r="G437" s="5"/>
      <c r="H437" s="5"/>
      <c r="I437" s="5" t="str">
        <f ca="1">IFERROR(_xludf.XLOOKUP(H437,BD_VACANTES!A:A,BD_VACANTES!C:C,""),"")</f>
        <v/>
      </c>
      <c r="J437" s="5" t="str">
        <f ca="1">IFERROR(_xludf.XLOOKUP(H437,BD_VACANTES!A:A,BD_VACANTES!E:E,""),"")</f>
        <v/>
      </c>
      <c r="K437" s="5"/>
      <c r="L437" s="5"/>
      <c r="M437" s="5"/>
      <c r="N437" s="5"/>
      <c r="O437" s="5"/>
      <c r="P437" s="6"/>
      <c r="Q437" s="8" t="str">
        <f t="shared" ca="1" si="13"/>
        <v/>
      </c>
      <c r="R437" s="7"/>
      <c r="S437" s="5"/>
    </row>
    <row r="438" spans="1:19">
      <c r="A438" s="5" t="str">
        <f t="shared" si="12"/>
        <v/>
      </c>
      <c r="B438" s="6"/>
      <c r="C438" s="5"/>
      <c r="D438" s="5"/>
      <c r="E438" s="5"/>
      <c r="F438" s="5"/>
      <c r="G438" s="5"/>
      <c r="H438" s="5"/>
      <c r="I438" s="5" t="str">
        <f ca="1">IFERROR(_xludf.XLOOKUP(H438,BD_VACANTES!A:A,BD_VACANTES!C:C,""),"")</f>
        <v/>
      </c>
      <c r="J438" s="5" t="str">
        <f ca="1">IFERROR(_xludf.XLOOKUP(H438,BD_VACANTES!A:A,BD_VACANTES!E:E,""),"")</f>
        <v/>
      </c>
      <c r="K438" s="5"/>
      <c r="L438" s="5"/>
      <c r="M438" s="5"/>
      <c r="N438" s="5"/>
      <c r="O438" s="5"/>
      <c r="P438" s="6"/>
      <c r="Q438" s="8" t="str">
        <f t="shared" ca="1" si="13"/>
        <v/>
      </c>
      <c r="R438" s="7"/>
      <c r="S438" s="5"/>
    </row>
    <row r="439" spans="1:19">
      <c r="A439" s="5" t="str">
        <f t="shared" si="12"/>
        <v/>
      </c>
      <c r="B439" s="6"/>
      <c r="C439" s="5"/>
      <c r="D439" s="5"/>
      <c r="E439" s="5"/>
      <c r="F439" s="5"/>
      <c r="G439" s="5"/>
      <c r="H439" s="5"/>
      <c r="I439" s="5" t="str">
        <f ca="1">IFERROR(_xludf.XLOOKUP(H439,BD_VACANTES!A:A,BD_VACANTES!C:C,""),"")</f>
        <v/>
      </c>
      <c r="J439" s="5" t="str">
        <f ca="1">IFERROR(_xludf.XLOOKUP(H439,BD_VACANTES!A:A,BD_VACANTES!E:E,""),"")</f>
        <v/>
      </c>
      <c r="K439" s="5"/>
      <c r="L439" s="5"/>
      <c r="M439" s="5"/>
      <c r="N439" s="5"/>
      <c r="O439" s="5"/>
      <c r="P439" s="6"/>
      <c r="Q439" s="8" t="str">
        <f t="shared" ca="1" si="13"/>
        <v/>
      </c>
      <c r="R439" s="7"/>
      <c r="S439" s="5"/>
    </row>
    <row r="440" spans="1:19">
      <c r="A440" s="5" t="str">
        <f t="shared" si="12"/>
        <v/>
      </c>
      <c r="B440" s="6"/>
      <c r="C440" s="5"/>
      <c r="D440" s="5"/>
      <c r="E440" s="5"/>
      <c r="F440" s="5"/>
      <c r="G440" s="5"/>
      <c r="H440" s="5"/>
      <c r="I440" s="5" t="str">
        <f ca="1">IFERROR(_xludf.XLOOKUP(H440,BD_VACANTES!A:A,BD_VACANTES!C:C,""),"")</f>
        <v/>
      </c>
      <c r="J440" s="5" t="str">
        <f ca="1">IFERROR(_xludf.XLOOKUP(H440,BD_VACANTES!A:A,BD_VACANTES!E:E,""),"")</f>
        <v/>
      </c>
      <c r="K440" s="5"/>
      <c r="L440" s="5"/>
      <c r="M440" s="5"/>
      <c r="N440" s="5"/>
      <c r="O440" s="5"/>
      <c r="P440" s="6"/>
      <c r="Q440" s="8" t="str">
        <f t="shared" ca="1" si="13"/>
        <v/>
      </c>
      <c r="R440" s="7"/>
      <c r="S440" s="5"/>
    </row>
    <row r="441" spans="1:19">
      <c r="A441" s="5" t="str">
        <f t="shared" si="12"/>
        <v/>
      </c>
      <c r="B441" s="6"/>
      <c r="C441" s="5"/>
      <c r="D441" s="5"/>
      <c r="E441" s="5"/>
      <c r="F441" s="5"/>
      <c r="G441" s="5"/>
      <c r="H441" s="5"/>
      <c r="I441" s="5" t="str">
        <f ca="1">IFERROR(_xludf.XLOOKUP(H441,BD_VACANTES!A:A,BD_VACANTES!C:C,""),"")</f>
        <v/>
      </c>
      <c r="J441" s="5" t="str">
        <f ca="1">IFERROR(_xludf.XLOOKUP(H441,BD_VACANTES!A:A,BD_VACANTES!E:E,""),"")</f>
        <v/>
      </c>
      <c r="K441" s="5"/>
      <c r="L441" s="5"/>
      <c r="M441" s="5"/>
      <c r="N441" s="5"/>
      <c r="O441" s="5"/>
      <c r="P441" s="6"/>
      <c r="Q441" s="8" t="str">
        <f t="shared" ca="1" si="13"/>
        <v/>
      </c>
      <c r="R441" s="7"/>
      <c r="S441" s="5"/>
    </row>
    <row r="442" spans="1:19">
      <c r="A442" s="5" t="str">
        <f t="shared" si="12"/>
        <v/>
      </c>
      <c r="B442" s="6"/>
      <c r="C442" s="5"/>
      <c r="D442" s="5"/>
      <c r="E442" s="5"/>
      <c r="F442" s="5"/>
      <c r="G442" s="5"/>
      <c r="H442" s="5"/>
      <c r="I442" s="5" t="str">
        <f ca="1">IFERROR(_xludf.XLOOKUP(H442,BD_VACANTES!A:A,BD_VACANTES!C:C,""),"")</f>
        <v/>
      </c>
      <c r="J442" s="5" t="str">
        <f ca="1">IFERROR(_xludf.XLOOKUP(H442,BD_VACANTES!A:A,BD_VACANTES!E:E,""),"")</f>
        <v/>
      </c>
      <c r="K442" s="5"/>
      <c r="L442" s="5"/>
      <c r="M442" s="5"/>
      <c r="N442" s="5"/>
      <c r="O442" s="5"/>
      <c r="P442" s="6"/>
      <c r="Q442" s="8" t="str">
        <f t="shared" ca="1" si="13"/>
        <v/>
      </c>
      <c r="R442" s="7"/>
      <c r="S442" s="5"/>
    </row>
    <row r="443" spans="1:19">
      <c r="A443" s="5" t="str">
        <f t="shared" si="12"/>
        <v/>
      </c>
      <c r="B443" s="6"/>
      <c r="C443" s="5"/>
      <c r="D443" s="5"/>
      <c r="E443" s="5"/>
      <c r="F443" s="5"/>
      <c r="G443" s="5"/>
      <c r="H443" s="5"/>
      <c r="I443" s="5" t="str">
        <f ca="1">IFERROR(_xludf.XLOOKUP(H443,BD_VACANTES!A:A,BD_VACANTES!C:C,""),"")</f>
        <v/>
      </c>
      <c r="J443" s="5" t="str">
        <f ca="1">IFERROR(_xludf.XLOOKUP(H443,BD_VACANTES!A:A,BD_VACANTES!E:E,""),"")</f>
        <v/>
      </c>
      <c r="K443" s="5"/>
      <c r="L443" s="5"/>
      <c r="M443" s="5"/>
      <c r="N443" s="5"/>
      <c r="O443" s="5"/>
      <c r="P443" s="6"/>
      <c r="Q443" s="8" t="str">
        <f t="shared" ca="1" si="13"/>
        <v/>
      </c>
      <c r="R443" s="7"/>
      <c r="S443" s="5"/>
    </row>
    <row r="444" spans="1:19">
      <c r="A444" s="5" t="str">
        <f t="shared" si="12"/>
        <v/>
      </c>
      <c r="B444" s="6"/>
      <c r="C444" s="5"/>
      <c r="D444" s="5"/>
      <c r="E444" s="5"/>
      <c r="F444" s="5"/>
      <c r="G444" s="5"/>
      <c r="H444" s="5"/>
      <c r="I444" s="5" t="str">
        <f ca="1">IFERROR(_xludf.XLOOKUP(H444,BD_VACANTES!A:A,BD_VACANTES!C:C,""),"")</f>
        <v/>
      </c>
      <c r="J444" s="5" t="str">
        <f ca="1">IFERROR(_xludf.XLOOKUP(H444,BD_VACANTES!A:A,BD_VACANTES!E:E,""),"")</f>
        <v/>
      </c>
      <c r="K444" s="5"/>
      <c r="L444" s="5"/>
      <c r="M444" s="5"/>
      <c r="N444" s="5"/>
      <c r="O444" s="5"/>
      <c r="P444" s="6"/>
      <c r="Q444" s="8" t="str">
        <f t="shared" ca="1" si="13"/>
        <v/>
      </c>
      <c r="R444" s="7"/>
      <c r="S444" s="5"/>
    </row>
    <row r="445" spans="1:19">
      <c r="A445" s="5" t="str">
        <f t="shared" si="12"/>
        <v/>
      </c>
      <c r="B445" s="6"/>
      <c r="C445" s="5"/>
      <c r="D445" s="5"/>
      <c r="E445" s="5"/>
      <c r="F445" s="5"/>
      <c r="G445" s="5"/>
      <c r="H445" s="5"/>
      <c r="I445" s="5" t="str">
        <f ca="1">IFERROR(_xludf.XLOOKUP(H445,BD_VACANTES!A:A,BD_VACANTES!C:C,""),"")</f>
        <v/>
      </c>
      <c r="J445" s="5" t="str">
        <f ca="1">IFERROR(_xludf.XLOOKUP(H445,BD_VACANTES!A:A,BD_VACANTES!E:E,""),"")</f>
        <v/>
      </c>
      <c r="K445" s="5"/>
      <c r="L445" s="5"/>
      <c r="M445" s="5"/>
      <c r="N445" s="5"/>
      <c r="O445" s="5"/>
      <c r="P445" s="6"/>
      <c r="Q445" s="8" t="str">
        <f t="shared" ca="1" si="13"/>
        <v/>
      </c>
      <c r="R445" s="7"/>
      <c r="S445" s="5"/>
    </row>
    <row r="446" spans="1:19">
      <c r="A446" s="5" t="str">
        <f t="shared" si="12"/>
        <v/>
      </c>
      <c r="B446" s="6"/>
      <c r="C446" s="5"/>
      <c r="D446" s="5"/>
      <c r="E446" s="5"/>
      <c r="F446" s="5"/>
      <c r="G446" s="5"/>
      <c r="H446" s="5"/>
      <c r="I446" s="5" t="str">
        <f ca="1">IFERROR(_xludf.XLOOKUP(H446,BD_VACANTES!A:A,BD_VACANTES!C:C,""),"")</f>
        <v/>
      </c>
      <c r="J446" s="5" t="str">
        <f ca="1">IFERROR(_xludf.XLOOKUP(H446,BD_VACANTES!A:A,BD_VACANTES!E:E,""),"")</f>
        <v/>
      </c>
      <c r="K446" s="5"/>
      <c r="L446" s="5"/>
      <c r="M446" s="5"/>
      <c r="N446" s="5"/>
      <c r="O446" s="5"/>
      <c r="P446" s="6"/>
      <c r="Q446" s="8" t="str">
        <f t="shared" ca="1" si="13"/>
        <v/>
      </c>
      <c r="R446" s="7"/>
      <c r="S446" s="5"/>
    </row>
    <row r="447" spans="1:19">
      <c r="A447" s="5" t="str">
        <f t="shared" si="12"/>
        <v/>
      </c>
      <c r="B447" s="6"/>
      <c r="C447" s="5"/>
      <c r="D447" s="5"/>
      <c r="E447" s="5"/>
      <c r="F447" s="5"/>
      <c r="G447" s="5"/>
      <c r="H447" s="5"/>
      <c r="I447" s="5" t="str">
        <f ca="1">IFERROR(_xludf.XLOOKUP(H447,BD_VACANTES!A:A,BD_VACANTES!C:C,""),"")</f>
        <v/>
      </c>
      <c r="J447" s="5" t="str">
        <f ca="1">IFERROR(_xludf.XLOOKUP(H447,BD_VACANTES!A:A,BD_VACANTES!E:E,""),"")</f>
        <v/>
      </c>
      <c r="K447" s="5"/>
      <c r="L447" s="5"/>
      <c r="M447" s="5"/>
      <c r="N447" s="5"/>
      <c r="O447" s="5"/>
      <c r="P447" s="6"/>
      <c r="Q447" s="8" t="str">
        <f t="shared" ca="1" si="13"/>
        <v/>
      </c>
      <c r="R447" s="7"/>
      <c r="S447" s="5"/>
    </row>
    <row r="448" spans="1:19">
      <c r="A448" s="5" t="str">
        <f t="shared" si="12"/>
        <v/>
      </c>
      <c r="B448" s="6"/>
      <c r="C448" s="5"/>
      <c r="D448" s="5"/>
      <c r="E448" s="5"/>
      <c r="F448" s="5"/>
      <c r="G448" s="5"/>
      <c r="H448" s="5"/>
      <c r="I448" s="5" t="str">
        <f ca="1">IFERROR(_xludf.XLOOKUP(H448,BD_VACANTES!A:A,BD_VACANTES!C:C,""),"")</f>
        <v/>
      </c>
      <c r="J448" s="5" t="str">
        <f ca="1">IFERROR(_xludf.XLOOKUP(H448,BD_VACANTES!A:A,BD_VACANTES!E:E,""),"")</f>
        <v/>
      </c>
      <c r="K448" s="5"/>
      <c r="L448" s="5"/>
      <c r="M448" s="5"/>
      <c r="N448" s="5"/>
      <c r="O448" s="5"/>
      <c r="P448" s="6"/>
      <c r="Q448" s="8" t="str">
        <f t="shared" ca="1" si="13"/>
        <v/>
      </c>
      <c r="R448" s="7"/>
      <c r="S448" s="5"/>
    </row>
    <row r="449" spans="1:19">
      <c r="A449" s="5" t="str">
        <f t="shared" si="12"/>
        <v/>
      </c>
      <c r="B449" s="6"/>
      <c r="C449" s="5"/>
      <c r="D449" s="5"/>
      <c r="E449" s="5"/>
      <c r="F449" s="5"/>
      <c r="G449" s="5"/>
      <c r="H449" s="5"/>
      <c r="I449" s="5" t="str">
        <f ca="1">IFERROR(_xludf.XLOOKUP(H449,BD_VACANTES!A:A,BD_VACANTES!C:C,""),"")</f>
        <v/>
      </c>
      <c r="J449" s="5" t="str">
        <f ca="1">IFERROR(_xludf.XLOOKUP(H449,BD_VACANTES!A:A,BD_VACANTES!E:E,""),"")</f>
        <v/>
      </c>
      <c r="K449" s="5"/>
      <c r="L449" s="5"/>
      <c r="M449" s="5"/>
      <c r="N449" s="5"/>
      <c r="O449" s="5"/>
      <c r="P449" s="6"/>
      <c r="Q449" s="8" t="str">
        <f t="shared" ca="1" si="13"/>
        <v/>
      </c>
      <c r="R449" s="7"/>
      <c r="S449" s="5"/>
    </row>
    <row r="450" spans="1:19">
      <c r="A450" s="5" t="str">
        <f t="shared" ref="A450:A500" si="14">IF(C450&lt;&gt;"","CAN-"&amp;TEXT(ROW()-1,"0000"),"")</f>
        <v/>
      </c>
      <c r="B450" s="6"/>
      <c r="C450" s="5"/>
      <c r="D450" s="5"/>
      <c r="E450" s="5"/>
      <c r="F450" s="5"/>
      <c r="G450" s="5"/>
      <c r="H450" s="5"/>
      <c r="I450" s="5" t="str">
        <f ca="1">IFERROR(_xludf.XLOOKUP(H450,BD_VACANTES!A:A,BD_VACANTES!C:C,""),"")</f>
        <v/>
      </c>
      <c r="J450" s="5" t="str">
        <f ca="1">IFERROR(_xludf.XLOOKUP(H450,BD_VACANTES!A:A,BD_VACANTES!E:E,""),"")</f>
        <v/>
      </c>
      <c r="K450" s="5"/>
      <c r="L450" s="5"/>
      <c r="M450" s="5"/>
      <c r="N450" s="5"/>
      <c r="O450" s="5"/>
      <c r="P450" s="6"/>
      <c r="Q450" s="8" t="str">
        <f t="shared" ref="Q450:Q500" ca="1" si="15">IF(B450="","",IF(P450&lt;&gt;"",P450-B450,TODAY()-B450))</f>
        <v/>
      </c>
      <c r="R450" s="7"/>
      <c r="S450" s="5"/>
    </row>
    <row r="451" spans="1:19">
      <c r="A451" s="5" t="str">
        <f t="shared" si="14"/>
        <v/>
      </c>
      <c r="B451" s="6"/>
      <c r="C451" s="5"/>
      <c r="D451" s="5"/>
      <c r="E451" s="5"/>
      <c r="F451" s="5"/>
      <c r="G451" s="5"/>
      <c r="H451" s="5"/>
      <c r="I451" s="5" t="str">
        <f ca="1">IFERROR(_xludf.XLOOKUP(H451,BD_VACANTES!A:A,BD_VACANTES!C:C,""),"")</f>
        <v/>
      </c>
      <c r="J451" s="5" t="str">
        <f ca="1">IFERROR(_xludf.XLOOKUP(H451,BD_VACANTES!A:A,BD_VACANTES!E:E,""),"")</f>
        <v/>
      </c>
      <c r="K451" s="5"/>
      <c r="L451" s="5"/>
      <c r="M451" s="5"/>
      <c r="N451" s="5"/>
      <c r="O451" s="5"/>
      <c r="P451" s="6"/>
      <c r="Q451" s="8" t="str">
        <f t="shared" ca="1" si="15"/>
        <v/>
      </c>
      <c r="R451" s="7"/>
      <c r="S451" s="5"/>
    </row>
    <row r="452" spans="1:19">
      <c r="A452" s="5" t="str">
        <f t="shared" si="14"/>
        <v/>
      </c>
      <c r="B452" s="6"/>
      <c r="C452" s="5"/>
      <c r="D452" s="5"/>
      <c r="E452" s="5"/>
      <c r="F452" s="5"/>
      <c r="G452" s="5"/>
      <c r="H452" s="5"/>
      <c r="I452" s="5" t="str">
        <f ca="1">IFERROR(_xludf.XLOOKUP(H452,BD_VACANTES!A:A,BD_VACANTES!C:C,""),"")</f>
        <v/>
      </c>
      <c r="J452" s="5" t="str">
        <f ca="1">IFERROR(_xludf.XLOOKUP(H452,BD_VACANTES!A:A,BD_VACANTES!E:E,""),"")</f>
        <v/>
      </c>
      <c r="K452" s="5"/>
      <c r="L452" s="5"/>
      <c r="M452" s="5"/>
      <c r="N452" s="5"/>
      <c r="O452" s="5"/>
      <c r="P452" s="6"/>
      <c r="Q452" s="8" t="str">
        <f t="shared" ca="1" si="15"/>
        <v/>
      </c>
      <c r="R452" s="7"/>
      <c r="S452" s="5"/>
    </row>
    <row r="453" spans="1:19">
      <c r="A453" s="5" t="str">
        <f t="shared" si="14"/>
        <v/>
      </c>
      <c r="B453" s="6"/>
      <c r="C453" s="5"/>
      <c r="D453" s="5"/>
      <c r="E453" s="5"/>
      <c r="F453" s="5"/>
      <c r="G453" s="5"/>
      <c r="H453" s="5"/>
      <c r="I453" s="5" t="str">
        <f ca="1">IFERROR(_xludf.XLOOKUP(H453,BD_VACANTES!A:A,BD_VACANTES!C:C,""),"")</f>
        <v/>
      </c>
      <c r="J453" s="5" t="str">
        <f ca="1">IFERROR(_xludf.XLOOKUP(H453,BD_VACANTES!A:A,BD_VACANTES!E:E,""),"")</f>
        <v/>
      </c>
      <c r="K453" s="5"/>
      <c r="L453" s="5"/>
      <c r="M453" s="5"/>
      <c r="N453" s="5"/>
      <c r="O453" s="5"/>
      <c r="P453" s="6"/>
      <c r="Q453" s="8" t="str">
        <f t="shared" ca="1" si="15"/>
        <v/>
      </c>
      <c r="R453" s="7"/>
      <c r="S453" s="5"/>
    </row>
    <row r="454" spans="1:19">
      <c r="A454" s="5" t="str">
        <f t="shared" si="14"/>
        <v/>
      </c>
      <c r="B454" s="6"/>
      <c r="C454" s="5"/>
      <c r="D454" s="5"/>
      <c r="E454" s="5"/>
      <c r="F454" s="5"/>
      <c r="G454" s="5"/>
      <c r="H454" s="5"/>
      <c r="I454" s="5" t="str">
        <f ca="1">IFERROR(_xludf.XLOOKUP(H454,BD_VACANTES!A:A,BD_VACANTES!C:C,""),"")</f>
        <v/>
      </c>
      <c r="J454" s="5" t="str">
        <f ca="1">IFERROR(_xludf.XLOOKUP(H454,BD_VACANTES!A:A,BD_VACANTES!E:E,""),"")</f>
        <v/>
      </c>
      <c r="K454" s="5"/>
      <c r="L454" s="5"/>
      <c r="M454" s="5"/>
      <c r="N454" s="5"/>
      <c r="O454" s="5"/>
      <c r="P454" s="6"/>
      <c r="Q454" s="8" t="str">
        <f t="shared" ca="1" si="15"/>
        <v/>
      </c>
      <c r="R454" s="7"/>
      <c r="S454" s="5"/>
    </row>
    <row r="455" spans="1:19">
      <c r="A455" s="5" t="str">
        <f t="shared" si="14"/>
        <v/>
      </c>
      <c r="B455" s="6"/>
      <c r="C455" s="5"/>
      <c r="D455" s="5"/>
      <c r="E455" s="5"/>
      <c r="F455" s="5"/>
      <c r="G455" s="5"/>
      <c r="H455" s="5"/>
      <c r="I455" s="5" t="str">
        <f ca="1">IFERROR(_xludf.XLOOKUP(H455,BD_VACANTES!A:A,BD_VACANTES!C:C,""),"")</f>
        <v/>
      </c>
      <c r="J455" s="5" t="str">
        <f ca="1">IFERROR(_xludf.XLOOKUP(H455,BD_VACANTES!A:A,BD_VACANTES!E:E,""),"")</f>
        <v/>
      </c>
      <c r="K455" s="5"/>
      <c r="L455" s="5"/>
      <c r="M455" s="5"/>
      <c r="N455" s="5"/>
      <c r="O455" s="5"/>
      <c r="P455" s="6"/>
      <c r="Q455" s="8" t="str">
        <f t="shared" ca="1" si="15"/>
        <v/>
      </c>
      <c r="R455" s="7"/>
      <c r="S455" s="5"/>
    </row>
    <row r="456" spans="1:19">
      <c r="A456" s="5" t="str">
        <f t="shared" si="14"/>
        <v/>
      </c>
      <c r="B456" s="6"/>
      <c r="C456" s="5"/>
      <c r="D456" s="5"/>
      <c r="E456" s="5"/>
      <c r="F456" s="5"/>
      <c r="G456" s="5"/>
      <c r="H456" s="5"/>
      <c r="I456" s="5" t="str">
        <f ca="1">IFERROR(_xludf.XLOOKUP(H456,BD_VACANTES!A:A,BD_VACANTES!C:C,""),"")</f>
        <v/>
      </c>
      <c r="J456" s="5" t="str">
        <f ca="1">IFERROR(_xludf.XLOOKUP(H456,BD_VACANTES!A:A,BD_VACANTES!E:E,""),"")</f>
        <v/>
      </c>
      <c r="K456" s="5"/>
      <c r="L456" s="5"/>
      <c r="M456" s="5"/>
      <c r="N456" s="5"/>
      <c r="O456" s="5"/>
      <c r="P456" s="6"/>
      <c r="Q456" s="8" t="str">
        <f t="shared" ca="1" si="15"/>
        <v/>
      </c>
      <c r="R456" s="7"/>
      <c r="S456" s="5"/>
    </row>
    <row r="457" spans="1:19">
      <c r="A457" s="5" t="str">
        <f t="shared" si="14"/>
        <v/>
      </c>
      <c r="B457" s="6"/>
      <c r="C457" s="5"/>
      <c r="D457" s="5"/>
      <c r="E457" s="5"/>
      <c r="F457" s="5"/>
      <c r="G457" s="5"/>
      <c r="H457" s="5"/>
      <c r="I457" s="5" t="str">
        <f ca="1">IFERROR(_xludf.XLOOKUP(H457,BD_VACANTES!A:A,BD_VACANTES!C:C,""),"")</f>
        <v/>
      </c>
      <c r="J457" s="5" t="str">
        <f ca="1">IFERROR(_xludf.XLOOKUP(H457,BD_VACANTES!A:A,BD_VACANTES!E:E,""),"")</f>
        <v/>
      </c>
      <c r="K457" s="5"/>
      <c r="L457" s="5"/>
      <c r="M457" s="5"/>
      <c r="N457" s="5"/>
      <c r="O457" s="5"/>
      <c r="P457" s="6"/>
      <c r="Q457" s="8" t="str">
        <f t="shared" ca="1" si="15"/>
        <v/>
      </c>
      <c r="R457" s="7"/>
      <c r="S457" s="5"/>
    </row>
    <row r="458" spans="1:19">
      <c r="A458" s="5" t="str">
        <f t="shared" si="14"/>
        <v/>
      </c>
      <c r="B458" s="6"/>
      <c r="C458" s="5"/>
      <c r="D458" s="5"/>
      <c r="E458" s="5"/>
      <c r="F458" s="5"/>
      <c r="G458" s="5"/>
      <c r="H458" s="5"/>
      <c r="I458" s="5" t="str">
        <f ca="1">IFERROR(_xludf.XLOOKUP(H458,BD_VACANTES!A:A,BD_VACANTES!C:C,""),"")</f>
        <v/>
      </c>
      <c r="J458" s="5" t="str">
        <f ca="1">IFERROR(_xludf.XLOOKUP(H458,BD_VACANTES!A:A,BD_VACANTES!E:E,""),"")</f>
        <v/>
      </c>
      <c r="K458" s="5"/>
      <c r="L458" s="5"/>
      <c r="M458" s="5"/>
      <c r="N458" s="5"/>
      <c r="O458" s="5"/>
      <c r="P458" s="6"/>
      <c r="Q458" s="8" t="str">
        <f t="shared" ca="1" si="15"/>
        <v/>
      </c>
      <c r="R458" s="7"/>
      <c r="S458" s="5"/>
    </row>
    <row r="459" spans="1:19">
      <c r="A459" s="5" t="str">
        <f t="shared" si="14"/>
        <v/>
      </c>
      <c r="B459" s="6"/>
      <c r="C459" s="5"/>
      <c r="D459" s="5"/>
      <c r="E459" s="5"/>
      <c r="F459" s="5"/>
      <c r="G459" s="5"/>
      <c r="H459" s="5"/>
      <c r="I459" s="5" t="str">
        <f ca="1">IFERROR(_xludf.XLOOKUP(H459,BD_VACANTES!A:A,BD_VACANTES!C:C,""),"")</f>
        <v/>
      </c>
      <c r="J459" s="5" t="str">
        <f ca="1">IFERROR(_xludf.XLOOKUP(H459,BD_VACANTES!A:A,BD_VACANTES!E:E,""),"")</f>
        <v/>
      </c>
      <c r="K459" s="5"/>
      <c r="L459" s="5"/>
      <c r="M459" s="5"/>
      <c r="N459" s="5"/>
      <c r="O459" s="5"/>
      <c r="P459" s="6"/>
      <c r="Q459" s="8" t="str">
        <f t="shared" ca="1" si="15"/>
        <v/>
      </c>
      <c r="R459" s="7"/>
      <c r="S459" s="5"/>
    </row>
    <row r="460" spans="1:19">
      <c r="A460" s="5" t="str">
        <f t="shared" si="14"/>
        <v/>
      </c>
      <c r="B460" s="6"/>
      <c r="C460" s="5"/>
      <c r="D460" s="5"/>
      <c r="E460" s="5"/>
      <c r="F460" s="5"/>
      <c r="G460" s="5"/>
      <c r="H460" s="5"/>
      <c r="I460" s="5" t="str">
        <f ca="1">IFERROR(_xludf.XLOOKUP(H460,BD_VACANTES!A:A,BD_VACANTES!C:C,""),"")</f>
        <v/>
      </c>
      <c r="J460" s="5" t="str">
        <f ca="1">IFERROR(_xludf.XLOOKUP(H460,BD_VACANTES!A:A,BD_VACANTES!E:E,""),"")</f>
        <v/>
      </c>
      <c r="K460" s="5"/>
      <c r="L460" s="5"/>
      <c r="M460" s="5"/>
      <c r="N460" s="5"/>
      <c r="O460" s="5"/>
      <c r="P460" s="6"/>
      <c r="Q460" s="8" t="str">
        <f t="shared" ca="1" si="15"/>
        <v/>
      </c>
      <c r="R460" s="7"/>
      <c r="S460" s="5"/>
    </row>
    <row r="461" spans="1:19">
      <c r="A461" s="5" t="str">
        <f t="shared" si="14"/>
        <v/>
      </c>
      <c r="B461" s="6"/>
      <c r="C461" s="5"/>
      <c r="D461" s="5"/>
      <c r="E461" s="5"/>
      <c r="F461" s="5"/>
      <c r="G461" s="5"/>
      <c r="H461" s="5"/>
      <c r="I461" s="5" t="str">
        <f ca="1">IFERROR(_xludf.XLOOKUP(H461,BD_VACANTES!A:A,BD_VACANTES!C:C,""),"")</f>
        <v/>
      </c>
      <c r="J461" s="5" t="str">
        <f ca="1">IFERROR(_xludf.XLOOKUP(H461,BD_VACANTES!A:A,BD_VACANTES!E:E,""),"")</f>
        <v/>
      </c>
      <c r="K461" s="5"/>
      <c r="L461" s="5"/>
      <c r="M461" s="5"/>
      <c r="N461" s="5"/>
      <c r="O461" s="5"/>
      <c r="P461" s="6"/>
      <c r="Q461" s="8" t="str">
        <f t="shared" ca="1" si="15"/>
        <v/>
      </c>
      <c r="R461" s="7"/>
      <c r="S461" s="5"/>
    </row>
    <row r="462" spans="1:19">
      <c r="A462" s="5" t="str">
        <f t="shared" si="14"/>
        <v/>
      </c>
      <c r="B462" s="6"/>
      <c r="C462" s="5"/>
      <c r="D462" s="5"/>
      <c r="E462" s="5"/>
      <c r="F462" s="5"/>
      <c r="G462" s="5"/>
      <c r="H462" s="5"/>
      <c r="I462" s="5" t="str">
        <f ca="1">IFERROR(_xludf.XLOOKUP(H462,BD_VACANTES!A:A,BD_VACANTES!C:C,""),"")</f>
        <v/>
      </c>
      <c r="J462" s="5" t="str">
        <f ca="1">IFERROR(_xludf.XLOOKUP(H462,BD_VACANTES!A:A,BD_VACANTES!E:E,""),"")</f>
        <v/>
      </c>
      <c r="K462" s="5"/>
      <c r="L462" s="5"/>
      <c r="M462" s="5"/>
      <c r="N462" s="5"/>
      <c r="O462" s="5"/>
      <c r="P462" s="6"/>
      <c r="Q462" s="8" t="str">
        <f t="shared" ca="1" si="15"/>
        <v/>
      </c>
      <c r="R462" s="7"/>
      <c r="S462" s="5"/>
    </row>
    <row r="463" spans="1:19">
      <c r="A463" s="5" t="str">
        <f t="shared" si="14"/>
        <v/>
      </c>
      <c r="B463" s="6"/>
      <c r="C463" s="5"/>
      <c r="D463" s="5"/>
      <c r="E463" s="5"/>
      <c r="F463" s="5"/>
      <c r="G463" s="5"/>
      <c r="H463" s="5"/>
      <c r="I463" s="5" t="str">
        <f ca="1">IFERROR(_xludf.XLOOKUP(H463,BD_VACANTES!A:A,BD_VACANTES!C:C,""),"")</f>
        <v/>
      </c>
      <c r="J463" s="5" t="str">
        <f ca="1">IFERROR(_xludf.XLOOKUP(H463,BD_VACANTES!A:A,BD_VACANTES!E:E,""),"")</f>
        <v/>
      </c>
      <c r="K463" s="5"/>
      <c r="L463" s="5"/>
      <c r="M463" s="5"/>
      <c r="N463" s="5"/>
      <c r="O463" s="5"/>
      <c r="P463" s="6"/>
      <c r="Q463" s="8" t="str">
        <f t="shared" ca="1" si="15"/>
        <v/>
      </c>
      <c r="R463" s="7"/>
      <c r="S463" s="5"/>
    </row>
    <row r="464" spans="1:19">
      <c r="A464" s="5" t="str">
        <f t="shared" si="14"/>
        <v/>
      </c>
      <c r="B464" s="6"/>
      <c r="C464" s="5"/>
      <c r="D464" s="5"/>
      <c r="E464" s="5"/>
      <c r="F464" s="5"/>
      <c r="G464" s="5"/>
      <c r="H464" s="5"/>
      <c r="I464" s="5" t="str">
        <f ca="1">IFERROR(_xludf.XLOOKUP(H464,BD_VACANTES!A:A,BD_VACANTES!C:C,""),"")</f>
        <v/>
      </c>
      <c r="J464" s="5" t="str">
        <f ca="1">IFERROR(_xludf.XLOOKUP(H464,BD_VACANTES!A:A,BD_VACANTES!E:E,""),"")</f>
        <v/>
      </c>
      <c r="K464" s="5"/>
      <c r="L464" s="5"/>
      <c r="M464" s="5"/>
      <c r="N464" s="5"/>
      <c r="O464" s="5"/>
      <c r="P464" s="6"/>
      <c r="Q464" s="8" t="str">
        <f t="shared" ca="1" si="15"/>
        <v/>
      </c>
      <c r="R464" s="7"/>
      <c r="S464" s="5"/>
    </row>
    <row r="465" spans="1:19">
      <c r="A465" s="5" t="str">
        <f t="shared" si="14"/>
        <v/>
      </c>
      <c r="B465" s="6"/>
      <c r="C465" s="5"/>
      <c r="D465" s="5"/>
      <c r="E465" s="5"/>
      <c r="F465" s="5"/>
      <c r="G465" s="5"/>
      <c r="H465" s="5"/>
      <c r="I465" s="5" t="str">
        <f ca="1">IFERROR(_xludf.XLOOKUP(H465,BD_VACANTES!A:A,BD_VACANTES!C:C,""),"")</f>
        <v/>
      </c>
      <c r="J465" s="5" t="str">
        <f ca="1">IFERROR(_xludf.XLOOKUP(H465,BD_VACANTES!A:A,BD_VACANTES!E:E,""),"")</f>
        <v/>
      </c>
      <c r="K465" s="5"/>
      <c r="L465" s="5"/>
      <c r="M465" s="5"/>
      <c r="N465" s="5"/>
      <c r="O465" s="5"/>
      <c r="P465" s="6"/>
      <c r="Q465" s="8" t="str">
        <f t="shared" ca="1" si="15"/>
        <v/>
      </c>
      <c r="R465" s="7"/>
      <c r="S465" s="5"/>
    </row>
    <row r="466" spans="1:19">
      <c r="A466" s="5" t="str">
        <f t="shared" si="14"/>
        <v/>
      </c>
      <c r="B466" s="6"/>
      <c r="C466" s="5"/>
      <c r="D466" s="5"/>
      <c r="E466" s="5"/>
      <c r="F466" s="5"/>
      <c r="G466" s="5"/>
      <c r="H466" s="5"/>
      <c r="I466" s="5" t="str">
        <f ca="1">IFERROR(_xludf.XLOOKUP(H466,BD_VACANTES!A:A,BD_VACANTES!C:C,""),"")</f>
        <v/>
      </c>
      <c r="J466" s="5" t="str">
        <f ca="1">IFERROR(_xludf.XLOOKUP(H466,BD_VACANTES!A:A,BD_VACANTES!E:E,""),"")</f>
        <v/>
      </c>
      <c r="K466" s="5"/>
      <c r="L466" s="5"/>
      <c r="M466" s="5"/>
      <c r="N466" s="5"/>
      <c r="O466" s="5"/>
      <c r="P466" s="6"/>
      <c r="Q466" s="8" t="str">
        <f t="shared" ca="1" si="15"/>
        <v/>
      </c>
      <c r="R466" s="7"/>
      <c r="S466" s="5"/>
    </row>
    <row r="467" spans="1:19">
      <c r="A467" s="5" t="str">
        <f t="shared" si="14"/>
        <v/>
      </c>
      <c r="B467" s="6"/>
      <c r="C467" s="5"/>
      <c r="D467" s="5"/>
      <c r="E467" s="5"/>
      <c r="F467" s="5"/>
      <c r="G467" s="5"/>
      <c r="H467" s="5"/>
      <c r="I467" s="5" t="str">
        <f ca="1">IFERROR(_xludf.XLOOKUP(H467,BD_VACANTES!A:A,BD_VACANTES!C:C,""),"")</f>
        <v/>
      </c>
      <c r="J467" s="5" t="str">
        <f ca="1">IFERROR(_xludf.XLOOKUP(H467,BD_VACANTES!A:A,BD_VACANTES!E:E,""),"")</f>
        <v/>
      </c>
      <c r="K467" s="5"/>
      <c r="L467" s="5"/>
      <c r="M467" s="5"/>
      <c r="N467" s="5"/>
      <c r="O467" s="5"/>
      <c r="P467" s="6"/>
      <c r="Q467" s="8" t="str">
        <f t="shared" ca="1" si="15"/>
        <v/>
      </c>
      <c r="R467" s="7"/>
      <c r="S467" s="5"/>
    </row>
    <row r="468" spans="1:19">
      <c r="A468" s="5" t="str">
        <f t="shared" si="14"/>
        <v/>
      </c>
      <c r="B468" s="6"/>
      <c r="C468" s="5"/>
      <c r="D468" s="5"/>
      <c r="E468" s="5"/>
      <c r="F468" s="5"/>
      <c r="G468" s="5"/>
      <c r="H468" s="5"/>
      <c r="I468" s="5" t="str">
        <f ca="1">IFERROR(_xludf.XLOOKUP(H468,BD_VACANTES!A:A,BD_VACANTES!C:C,""),"")</f>
        <v/>
      </c>
      <c r="J468" s="5" t="str">
        <f ca="1">IFERROR(_xludf.XLOOKUP(H468,BD_VACANTES!A:A,BD_VACANTES!E:E,""),"")</f>
        <v/>
      </c>
      <c r="K468" s="5"/>
      <c r="L468" s="5"/>
      <c r="M468" s="5"/>
      <c r="N468" s="5"/>
      <c r="O468" s="5"/>
      <c r="P468" s="6"/>
      <c r="Q468" s="8" t="str">
        <f t="shared" ca="1" si="15"/>
        <v/>
      </c>
      <c r="R468" s="7"/>
      <c r="S468" s="5"/>
    </row>
    <row r="469" spans="1:19">
      <c r="A469" s="5" t="str">
        <f t="shared" si="14"/>
        <v/>
      </c>
      <c r="B469" s="6"/>
      <c r="C469" s="5"/>
      <c r="D469" s="5"/>
      <c r="E469" s="5"/>
      <c r="F469" s="5"/>
      <c r="G469" s="5"/>
      <c r="H469" s="5"/>
      <c r="I469" s="5" t="str">
        <f ca="1">IFERROR(_xludf.XLOOKUP(H469,BD_VACANTES!A:A,BD_VACANTES!C:C,""),"")</f>
        <v/>
      </c>
      <c r="J469" s="5" t="str">
        <f ca="1">IFERROR(_xludf.XLOOKUP(H469,BD_VACANTES!A:A,BD_VACANTES!E:E,""),"")</f>
        <v/>
      </c>
      <c r="K469" s="5"/>
      <c r="L469" s="5"/>
      <c r="M469" s="5"/>
      <c r="N469" s="5"/>
      <c r="O469" s="5"/>
      <c r="P469" s="6"/>
      <c r="Q469" s="8" t="str">
        <f t="shared" ca="1" si="15"/>
        <v/>
      </c>
      <c r="R469" s="7"/>
      <c r="S469" s="5"/>
    </row>
    <row r="470" spans="1:19">
      <c r="A470" s="5" t="str">
        <f t="shared" si="14"/>
        <v/>
      </c>
      <c r="B470" s="6"/>
      <c r="C470" s="5"/>
      <c r="D470" s="5"/>
      <c r="E470" s="5"/>
      <c r="F470" s="5"/>
      <c r="G470" s="5"/>
      <c r="H470" s="5"/>
      <c r="I470" s="5" t="str">
        <f ca="1">IFERROR(_xludf.XLOOKUP(H470,BD_VACANTES!A:A,BD_VACANTES!C:C,""),"")</f>
        <v/>
      </c>
      <c r="J470" s="5" t="str">
        <f ca="1">IFERROR(_xludf.XLOOKUP(H470,BD_VACANTES!A:A,BD_VACANTES!E:E,""),"")</f>
        <v/>
      </c>
      <c r="K470" s="5"/>
      <c r="L470" s="5"/>
      <c r="M470" s="5"/>
      <c r="N470" s="5"/>
      <c r="O470" s="5"/>
      <c r="P470" s="6"/>
      <c r="Q470" s="8" t="str">
        <f t="shared" ca="1" si="15"/>
        <v/>
      </c>
      <c r="R470" s="7"/>
      <c r="S470" s="5"/>
    </row>
    <row r="471" spans="1:19">
      <c r="A471" s="5" t="str">
        <f t="shared" si="14"/>
        <v/>
      </c>
      <c r="B471" s="6"/>
      <c r="C471" s="5"/>
      <c r="D471" s="5"/>
      <c r="E471" s="5"/>
      <c r="F471" s="5"/>
      <c r="G471" s="5"/>
      <c r="H471" s="5"/>
      <c r="I471" s="5" t="str">
        <f ca="1">IFERROR(_xludf.XLOOKUP(H471,BD_VACANTES!A:A,BD_VACANTES!C:C,""),"")</f>
        <v/>
      </c>
      <c r="J471" s="5" t="str">
        <f ca="1">IFERROR(_xludf.XLOOKUP(H471,BD_VACANTES!A:A,BD_VACANTES!E:E,""),"")</f>
        <v/>
      </c>
      <c r="K471" s="5"/>
      <c r="L471" s="5"/>
      <c r="M471" s="5"/>
      <c r="N471" s="5"/>
      <c r="O471" s="5"/>
      <c r="P471" s="6"/>
      <c r="Q471" s="8" t="str">
        <f t="shared" ca="1" si="15"/>
        <v/>
      </c>
      <c r="R471" s="7"/>
      <c r="S471" s="5"/>
    </row>
    <row r="472" spans="1:19">
      <c r="A472" s="5" t="str">
        <f t="shared" si="14"/>
        <v/>
      </c>
      <c r="B472" s="6"/>
      <c r="C472" s="5"/>
      <c r="D472" s="5"/>
      <c r="E472" s="5"/>
      <c r="F472" s="5"/>
      <c r="G472" s="5"/>
      <c r="H472" s="5"/>
      <c r="I472" s="5" t="str">
        <f ca="1">IFERROR(_xludf.XLOOKUP(H472,BD_VACANTES!A:A,BD_VACANTES!C:C,""),"")</f>
        <v/>
      </c>
      <c r="J472" s="5" t="str">
        <f ca="1">IFERROR(_xludf.XLOOKUP(H472,BD_VACANTES!A:A,BD_VACANTES!E:E,""),"")</f>
        <v/>
      </c>
      <c r="K472" s="5"/>
      <c r="L472" s="5"/>
      <c r="M472" s="5"/>
      <c r="N472" s="5"/>
      <c r="O472" s="5"/>
      <c r="P472" s="6"/>
      <c r="Q472" s="8" t="str">
        <f t="shared" ca="1" si="15"/>
        <v/>
      </c>
      <c r="R472" s="7"/>
      <c r="S472" s="5"/>
    </row>
    <row r="473" spans="1:19">
      <c r="A473" s="5" t="str">
        <f t="shared" si="14"/>
        <v/>
      </c>
      <c r="B473" s="6"/>
      <c r="C473" s="5"/>
      <c r="D473" s="5"/>
      <c r="E473" s="5"/>
      <c r="F473" s="5"/>
      <c r="G473" s="5"/>
      <c r="H473" s="5"/>
      <c r="I473" s="5" t="str">
        <f ca="1">IFERROR(_xludf.XLOOKUP(H473,BD_VACANTES!A:A,BD_VACANTES!C:C,""),"")</f>
        <v/>
      </c>
      <c r="J473" s="5" t="str">
        <f ca="1">IFERROR(_xludf.XLOOKUP(H473,BD_VACANTES!A:A,BD_VACANTES!E:E,""),"")</f>
        <v/>
      </c>
      <c r="K473" s="5"/>
      <c r="L473" s="5"/>
      <c r="M473" s="5"/>
      <c r="N473" s="5"/>
      <c r="O473" s="5"/>
      <c r="P473" s="6"/>
      <c r="Q473" s="8" t="str">
        <f t="shared" ca="1" si="15"/>
        <v/>
      </c>
      <c r="R473" s="7"/>
      <c r="S473" s="5"/>
    </row>
    <row r="474" spans="1:19">
      <c r="A474" s="5" t="str">
        <f t="shared" si="14"/>
        <v/>
      </c>
      <c r="B474" s="6"/>
      <c r="C474" s="5"/>
      <c r="D474" s="5"/>
      <c r="E474" s="5"/>
      <c r="F474" s="5"/>
      <c r="G474" s="5"/>
      <c r="H474" s="5"/>
      <c r="I474" s="5" t="str">
        <f ca="1">IFERROR(_xludf.XLOOKUP(H474,BD_VACANTES!A:A,BD_VACANTES!C:C,""),"")</f>
        <v/>
      </c>
      <c r="J474" s="5" t="str">
        <f ca="1">IFERROR(_xludf.XLOOKUP(H474,BD_VACANTES!A:A,BD_VACANTES!E:E,""),"")</f>
        <v/>
      </c>
      <c r="K474" s="5"/>
      <c r="L474" s="5"/>
      <c r="M474" s="5"/>
      <c r="N474" s="5"/>
      <c r="O474" s="5"/>
      <c r="P474" s="6"/>
      <c r="Q474" s="8" t="str">
        <f t="shared" ca="1" si="15"/>
        <v/>
      </c>
      <c r="R474" s="7"/>
      <c r="S474" s="5"/>
    </row>
    <row r="475" spans="1:19">
      <c r="A475" s="5" t="str">
        <f t="shared" si="14"/>
        <v/>
      </c>
      <c r="B475" s="6"/>
      <c r="C475" s="5"/>
      <c r="D475" s="5"/>
      <c r="E475" s="5"/>
      <c r="F475" s="5"/>
      <c r="G475" s="5"/>
      <c r="H475" s="5"/>
      <c r="I475" s="5" t="str">
        <f ca="1">IFERROR(_xludf.XLOOKUP(H475,BD_VACANTES!A:A,BD_VACANTES!C:C,""),"")</f>
        <v/>
      </c>
      <c r="J475" s="5" t="str">
        <f ca="1">IFERROR(_xludf.XLOOKUP(H475,BD_VACANTES!A:A,BD_VACANTES!E:E,""),"")</f>
        <v/>
      </c>
      <c r="K475" s="5"/>
      <c r="L475" s="5"/>
      <c r="M475" s="5"/>
      <c r="N475" s="5"/>
      <c r="O475" s="5"/>
      <c r="P475" s="6"/>
      <c r="Q475" s="8" t="str">
        <f t="shared" ca="1" si="15"/>
        <v/>
      </c>
      <c r="R475" s="7"/>
      <c r="S475" s="5"/>
    </row>
    <row r="476" spans="1:19">
      <c r="A476" s="5" t="str">
        <f t="shared" si="14"/>
        <v/>
      </c>
      <c r="B476" s="6"/>
      <c r="C476" s="5"/>
      <c r="D476" s="5"/>
      <c r="E476" s="5"/>
      <c r="F476" s="5"/>
      <c r="G476" s="5"/>
      <c r="H476" s="5"/>
      <c r="I476" s="5" t="str">
        <f ca="1">IFERROR(_xludf.XLOOKUP(H476,BD_VACANTES!A:A,BD_VACANTES!C:C,""),"")</f>
        <v/>
      </c>
      <c r="J476" s="5" t="str">
        <f ca="1">IFERROR(_xludf.XLOOKUP(H476,BD_VACANTES!A:A,BD_VACANTES!E:E,""),"")</f>
        <v/>
      </c>
      <c r="K476" s="5"/>
      <c r="L476" s="5"/>
      <c r="M476" s="5"/>
      <c r="N476" s="5"/>
      <c r="O476" s="5"/>
      <c r="P476" s="6"/>
      <c r="Q476" s="8" t="str">
        <f t="shared" ca="1" si="15"/>
        <v/>
      </c>
      <c r="R476" s="7"/>
      <c r="S476" s="5"/>
    </row>
    <row r="477" spans="1:19">
      <c r="A477" s="5" t="str">
        <f t="shared" si="14"/>
        <v/>
      </c>
      <c r="B477" s="6"/>
      <c r="C477" s="5"/>
      <c r="D477" s="5"/>
      <c r="E477" s="5"/>
      <c r="F477" s="5"/>
      <c r="G477" s="5"/>
      <c r="H477" s="5"/>
      <c r="I477" s="5" t="str">
        <f ca="1">IFERROR(_xludf.XLOOKUP(H477,BD_VACANTES!A:A,BD_VACANTES!C:C,""),"")</f>
        <v/>
      </c>
      <c r="J477" s="5" t="str">
        <f ca="1">IFERROR(_xludf.XLOOKUP(H477,BD_VACANTES!A:A,BD_VACANTES!E:E,""),"")</f>
        <v/>
      </c>
      <c r="K477" s="5"/>
      <c r="L477" s="5"/>
      <c r="M477" s="5"/>
      <c r="N477" s="5"/>
      <c r="O477" s="5"/>
      <c r="P477" s="6"/>
      <c r="Q477" s="8" t="str">
        <f t="shared" ca="1" si="15"/>
        <v/>
      </c>
      <c r="R477" s="7"/>
      <c r="S477" s="5"/>
    </row>
    <row r="478" spans="1:19">
      <c r="A478" s="5" t="str">
        <f t="shared" si="14"/>
        <v/>
      </c>
      <c r="B478" s="6"/>
      <c r="C478" s="5"/>
      <c r="D478" s="5"/>
      <c r="E478" s="5"/>
      <c r="F478" s="5"/>
      <c r="G478" s="5"/>
      <c r="H478" s="5"/>
      <c r="I478" s="5" t="str">
        <f ca="1">IFERROR(_xludf.XLOOKUP(H478,BD_VACANTES!A:A,BD_VACANTES!C:C,""),"")</f>
        <v/>
      </c>
      <c r="J478" s="5" t="str">
        <f ca="1">IFERROR(_xludf.XLOOKUP(H478,BD_VACANTES!A:A,BD_VACANTES!E:E,""),"")</f>
        <v/>
      </c>
      <c r="K478" s="5"/>
      <c r="L478" s="5"/>
      <c r="M478" s="5"/>
      <c r="N478" s="5"/>
      <c r="O478" s="5"/>
      <c r="P478" s="6"/>
      <c r="Q478" s="8" t="str">
        <f t="shared" ca="1" si="15"/>
        <v/>
      </c>
      <c r="R478" s="7"/>
      <c r="S478" s="5"/>
    </row>
    <row r="479" spans="1:19">
      <c r="A479" s="5" t="str">
        <f t="shared" si="14"/>
        <v/>
      </c>
      <c r="B479" s="6"/>
      <c r="C479" s="5"/>
      <c r="D479" s="5"/>
      <c r="E479" s="5"/>
      <c r="F479" s="5"/>
      <c r="G479" s="5"/>
      <c r="H479" s="5"/>
      <c r="I479" s="5" t="str">
        <f ca="1">IFERROR(_xludf.XLOOKUP(H479,BD_VACANTES!A:A,BD_VACANTES!C:C,""),"")</f>
        <v/>
      </c>
      <c r="J479" s="5" t="str">
        <f ca="1">IFERROR(_xludf.XLOOKUP(H479,BD_VACANTES!A:A,BD_VACANTES!E:E,""),"")</f>
        <v/>
      </c>
      <c r="K479" s="5"/>
      <c r="L479" s="5"/>
      <c r="M479" s="5"/>
      <c r="N479" s="5"/>
      <c r="O479" s="5"/>
      <c r="P479" s="6"/>
      <c r="Q479" s="8" t="str">
        <f t="shared" ca="1" si="15"/>
        <v/>
      </c>
      <c r="R479" s="7"/>
      <c r="S479" s="5"/>
    </row>
    <row r="480" spans="1:19">
      <c r="A480" s="5" t="str">
        <f t="shared" si="14"/>
        <v/>
      </c>
      <c r="B480" s="6"/>
      <c r="C480" s="5"/>
      <c r="D480" s="5"/>
      <c r="E480" s="5"/>
      <c r="F480" s="5"/>
      <c r="G480" s="5"/>
      <c r="H480" s="5"/>
      <c r="I480" s="5" t="str">
        <f ca="1">IFERROR(_xludf.XLOOKUP(H480,BD_VACANTES!A:A,BD_VACANTES!C:C,""),"")</f>
        <v/>
      </c>
      <c r="J480" s="5" t="str">
        <f ca="1">IFERROR(_xludf.XLOOKUP(H480,BD_VACANTES!A:A,BD_VACANTES!E:E,""),"")</f>
        <v/>
      </c>
      <c r="K480" s="5"/>
      <c r="L480" s="5"/>
      <c r="M480" s="5"/>
      <c r="N480" s="5"/>
      <c r="O480" s="5"/>
      <c r="P480" s="6"/>
      <c r="Q480" s="8" t="str">
        <f t="shared" ca="1" si="15"/>
        <v/>
      </c>
      <c r="R480" s="7"/>
      <c r="S480" s="5"/>
    </row>
    <row r="481" spans="1:19">
      <c r="A481" s="5" t="str">
        <f t="shared" si="14"/>
        <v/>
      </c>
      <c r="B481" s="6"/>
      <c r="C481" s="5"/>
      <c r="D481" s="5"/>
      <c r="E481" s="5"/>
      <c r="F481" s="5"/>
      <c r="G481" s="5"/>
      <c r="H481" s="5"/>
      <c r="I481" s="5" t="str">
        <f ca="1">IFERROR(_xludf.XLOOKUP(H481,BD_VACANTES!A:A,BD_VACANTES!C:C,""),"")</f>
        <v/>
      </c>
      <c r="J481" s="5" t="str">
        <f ca="1">IFERROR(_xludf.XLOOKUP(H481,BD_VACANTES!A:A,BD_VACANTES!E:E,""),"")</f>
        <v/>
      </c>
      <c r="K481" s="5"/>
      <c r="L481" s="5"/>
      <c r="M481" s="5"/>
      <c r="N481" s="5"/>
      <c r="O481" s="5"/>
      <c r="P481" s="6"/>
      <c r="Q481" s="8" t="str">
        <f t="shared" ca="1" si="15"/>
        <v/>
      </c>
      <c r="R481" s="7"/>
      <c r="S481" s="5"/>
    </row>
    <row r="482" spans="1:19">
      <c r="A482" s="5" t="str">
        <f t="shared" si="14"/>
        <v/>
      </c>
      <c r="B482" s="6"/>
      <c r="C482" s="5"/>
      <c r="D482" s="5"/>
      <c r="E482" s="5"/>
      <c r="F482" s="5"/>
      <c r="G482" s="5"/>
      <c r="H482" s="5"/>
      <c r="I482" s="5" t="str">
        <f ca="1">IFERROR(_xludf.XLOOKUP(H482,BD_VACANTES!A:A,BD_VACANTES!C:C,""),"")</f>
        <v/>
      </c>
      <c r="J482" s="5" t="str">
        <f ca="1">IFERROR(_xludf.XLOOKUP(H482,BD_VACANTES!A:A,BD_VACANTES!E:E,""),"")</f>
        <v/>
      </c>
      <c r="K482" s="5"/>
      <c r="L482" s="5"/>
      <c r="M482" s="5"/>
      <c r="N482" s="5"/>
      <c r="O482" s="5"/>
      <c r="P482" s="6"/>
      <c r="Q482" s="8" t="str">
        <f t="shared" ca="1" si="15"/>
        <v/>
      </c>
      <c r="R482" s="7"/>
      <c r="S482" s="5"/>
    </row>
    <row r="483" spans="1:19">
      <c r="A483" s="5" t="str">
        <f t="shared" si="14"/>
        <v/>
      </c>
      <c r="B483" s="6"/>
      <c r="C483" s="5"/>
      <c r="D483" s="5"/>
      <c r="E483" s="5"/>
      <c r="F483" s="5"/>
      <c r="G483" s="5"/>
      <c r="H483" s="5"/>
      <c r="I483" s="5" t="str">
        <f ca="1">IFERROR(_xludf.XLOOKUP(H483,BD_VACANTES!A:A,BD_VACANTES!C:C,""),"")</f>
        <v/>
      </c>
      <c r="J483" s="5" t="str">
        <f ca="1">IFERROR(_xludf.XLOOKUP(H483,BD_VACANTES!A:A,BD_VACANTES!E:E,""),"")</f>
        <v/>
      </c>
      <c r="K483" s="5"/>
      <c r="L483" s="5"/>
      <c r="M483" s="5"/>
      <c r="N483" s="5"/>
      <c r="O483" s="5"/>
      <c r="P483" s="6"/>
      <c r="Q483" s="8" t="str">
        <f t="shared" ca="1" si="15"/>
        <v/>
      </c>
      <c r="R483" s="7"/>
      <c r="S483" s="5"/>
    </row>
    <row r="484" spans="1:19">
      <c r="A484" s="5" t="str">
        <f t="shared" si="14"/>
        <v/>
      </c>
      <c r="B484" s="6"/>
      <c r="C484" s="5"/>
      <c r="D484" s="5"/>
      <c r="E484" s="5"/>
      <c r="F484" s="5"/>
      <c r="G484" s="5"/>
      <c r="H484" s="5"/>
      <c r="I484" s="5" t="str">
        <f ca="1">IFERROR(_xludf.XLOOKUP(H484,BD_VACANTES!A:A,BD_VACANTES!C:C,""),"")</f>
        <v/>
      </c>
      <c r="J484" s="5" t="str">
        <f ca="1">IFERROR(_xludf.XLOOKUP(H484,BD_VACANTES!A:A,BD_VACANTES!E:E,""),"")</f>
        <v/>
      </c>
      <c r="K484" s="5"/>
      <c r="L484" s="5"/>
      <c r="M484" s="5"/>
      <c r="N484" s="5"/>
      <c r="O484" s="5"/>
      <c r="P484" s="6"/>
      <c r="Q484" s="8" t="str">
        <f t="shared" ca="1" si="15"/>
        <v/>
      </c>
      <c r="R484" s="7"/>
      <c r="S484" s="5"/>
    </row>
    <row r="485" spans="1:19">
      <c r="A485" s="5" t="str">
        <f t="shared" si="14"/>
        <v/>
      </c>
      <c r="B485" s="6"/>
      <c r="C485" s="5"/>
      <c r="D485" s="5"/>
      <c r="E485" s="5"/>
      <c r="F485" s="5"/>
      <c r="G485" s="5"/>
      <c r="H485" s="5"/>
      <c r="I485" s="5" t="str">
        <f ca="1">IFERROR(_xludf.XLOOKUP(H485,BD_VACANTES!A:A,BD_VACANTES!C:C,""),"")</f>
        <v/>
      </c>
      <c r="J485" s="5" t="str">
        <f ca="1">IFERROR(_xludf.XLOOKUP(H485,BD_VACANTES!A:A,BD_VACANTES!E:E,""),"")</f>
        <v/>
      </c>
      <c r="K485" s="5"/>
      <c r="L485" s="5"/>
      <c r="M485" s="5"/>
      <c r="N485" s="5"/>
      <c r="O485" s="5"/>
      <c r="P485" s="6"/>
      <c r="Q485" s="8" t="str">
        <f t="shared" ca="1" si="15"/>
        <v/>
      </c>
      <c r="R485" s="7"/>
      <c r="S485" s="5"/>
    </row>
    <row r="486" spans="1:19">
      <c r="A486" s="5" t="str">
        <f t="shared" si="14"/>
        <v/>
      </c>
      <c r="B486" s="6"/>
      <c r="C486" s="5"/>
      <c r="D486" s="5"/>
      <c r="E486" s="5"/>
      <c r="F486" s="5"/>
      <c r="G486" s="5"/>
      <c r="H486" s="5"/>
      <c r="I486" s="5" t="str">
        <f ca="1">IFERROR(_xludf.XLOOKUP(H486,BD_VACANTES!A:A,BD_VACANTES!C:C,""),"")</f>
        <v/>
      </c>
      <c r="J486" s="5" t="str">
        <f ca="1">IFERROR(_xludf.XLOOKUP(H486,BD_VACANTES!A:A,BD_VACANTES!E:E,""),"")</f>
        <v/>
      </c>
      <c r="K486" s="5"/>
      <c r="L486" s="5"/>
      <c r="M486" s="5"/>
      <c r="N486" s="5"/>
      <c r="O486" s="5"/>
      <c r="P486" s="6"/>
      <c r="Q486" s="8" t="str">
        <f t="shared" ca="1" si="15"/>
        <v/>
      </c>
      <c r="R486" s="7"/>
      <c r="S486" s="5"/>
    </row>
    <row r="487" spans="1:19">
      <c r="A487" s="5" t="str">
        <f t="shared" si="14"/>
        <v/>
      </c>
      <c r="B487" s="6"/>
      <c r="C487" s="5"/>
      <c r="D487" s="5"/>
      <c r="E487" s="5"/>
      <c r="F487" s="5"/>
      <c r="G487" s="5"/>
      <c r="H487" s="5"/>
      <c r="I487" s="5" t="str">
        <f ca="1">IFERROR(_xludf.XLOOKUP(H487,BD_VACANTES!A:A,BD_VACANTES!C:C,""),"")</f>
        <v/>
      </c>
      <c r="J487" s="5" t="str">
        <f ca="1">IFERROR(_xludf.XLOOKUP(H487,BD_VACANTES!A:A,BD_VACANTES!E:E,""),"")</f>
        <v/>
      </c>
      <c r="K487" s="5"/>
      <c r="L487" s="5"/>
      <c r="M487" s="5"/>
      <c r="N487" s="5"/>
      <c r="O487" s="5"/>
      <c r="P487" s="6"/>
      <c r="Q487" s="8" t="str">
        <f t="shared" ca="1" si="15"/>
        <v/>
      </c>
      <c r="R487" s="7"/>
      <c r="S487" s="5"/>
    </row>
    <row r="488" spans="1:19">
      <c r="A488" s="5" t="str">
        <f t="shared" si="14"/>
        <v/>
      </c>
      <c r="B488" s="6"/>
      <c r="C488" s="5"/>
      <c r="D488" s="5"/>
      <c r="E488" s="5"/>
      <c r="F488" s="5"/>
      <c r="G488" s="5"/>
      <c r="H488" s="5"/>
      <c r="I488" s="5" t="str">
        <f ca="1">IFERROR(_xludf.XLOOKUP(H488,BD_VACANTES!A:A,BD_VACANTES!C:C,""),"")</f>
        <v/>
      </c>
      <c r="J488" s="5" t="str">
        <f ca="1">IFERROR(_xludf.XLOOKUP(H488,BD_VACANTES!A:A,BD_VACANTES!E:E,""),"")</f>
        <v/>
      </c>
      <c r="K488" s="5"/>
      <c r="L488" s="5"/>
      <c r="M488" s="5"/>
      <c r="N488" s="5"/>
      <c r="O488" s="5"/>
      <c r="P488" s="6"/>
      <c r="Q488" s="8" t="str">
        <f t="shared" ca="1" si="15"/>
        <v/>
      </c>
      <c r="R488" s="7"/>
      <c r="S488" s="5"/>
    </row>
    <row r="489" spans="1:19">
      <c r="A489" s="5" t="str">
        <f t="shared" si="14"/>
        <v/>
      </c>
      <c r="B489" s="6"/>
      <c r="C489" s="5"/>
      <c r="D489" s="5"/>
      <c r="E489" s="5"/>
      <c r="F489" s="5"/>
      <c r="G489" s="5"/>
      <c r="H489" s="5"/>
      <c r="I489" s="5" t="str">
        <f ca="1">IFERROR(_xludf.XLOOKUP(H489,BD_VACANTES!A:A,BD_VACANTES!C:C,""),"")</f>
        <v/>
      </c>
      <c r="J489" s="5" t="str">
        <f ca="1">IFERROR(_xludf.XLOOKUP(H489,BD_VACANTES!A:A,BD_VACANTES!E:E,""),"")</f>
        <v/>
      </c>
      <c r="K489" s="5"/>
      <c r="L489" s="5"/>
      <c r="M489" s="5"/>
      <c r="N489" s="5"/>
      <c r="O489" s="5"/>
      <c r="P489" s="6"/>
      <c r="Q489" s="8" t="str">
        <f t="shared" ca="1" si="15"/>
        <v/>
      </c>
      <c r="R489" s="7"/>
      <c r="S489" s="5"/>
    </row>
    <row r="490" spans="1:19">
      <c r="A490" s="5" t="str">
        <f t="shared" si="14"/>
        <v/>
      </c>
      <c r="B490" s="6"/>
      <c r="C490" s="5"/>
      <c r="D490" s="5"/>
      <c r="E490" s="5"/>
      <c r="F490" s="5"/>
      <c r="G490" s="5"/>
      <c r="H490" s="5"/>
      <c r="I490" s="5" t="str">
        <f ca="1">IFERROR(_xludf.XLOOKUP(H490,BD_VACANTES!A:A,BD_VACANTES!C:C,""),"")</f>
        <v/>
      </c>
      <c r="J490" s="5" t="str">
        <f ca="1">IFERROR(_xludf.XLOOKUP(H490,BD_VACANTES!A:A,BD_VACANTES!E:E,""),"")</f>
        <v/>
      </c>
      <c r="K490" s="5"/>
      <c r="L490" s="5"/>
      <c r="M490" s="5"/>
      <c r="N490" s="5"/>
      <c r="O490" s="5"/>
      <c r="P490" s="6"/>
      <c r="Q490" s="8" t="str">
        <f t="shared" ca="1" si="15"/>
        <v/>
      </c>
      <c r="R490" s="7"/>
      <c r="S490" s="5"/>
    </row>
    <row r="491" spans="1:19">
      <c r="A491" s="5" t="str">
        <f t="shared" si="14"/>
        <v/>
      </c>
      <c r="B491" s="6"/>
      <c r="C491" s="5"/>
      <c r="D491" s="5"/>
      <c r="E491" s="5"/>
      <c r="F491" s="5"/>
      <c r="G491" s="5"/>
      <c r="H491" s="5"/>
      <c r="I491" s="5" t="str">
        <f ca="1">IFERROR(_xludf.XLOOKUP(H491,BD_VACANTES!A:A,BD_VACANTES!C:C,""),"")</f>
        <v/>
      </c>
      <c r="J491" s="5" t="str">
        <f ca="1">IFERROR(_xludf.XLOOKUP(H491,BD_VACANTES!A:A,BD_VACANTES!E:E,""),"")</f>
        <v/>
      </c>
      <c r="K491" s="5"/>
      <c r="L491" s="5"/>
      <c r="M491" s="5"/>
      <c r="N491" s="5"/>
      <c r="O491" s="5"/>
      <c r="P491" s="6"/>
      <c r="Q491" s="8" t="str">
        <f t="shared" ca="1" si="15"/>
        <v/>
      </c>
      <c r="R491" s="7"/>
      <c r="S491" s="5"/>
    </row>
    <row r="492" spans="1:19">
      <c r="A492" s="5" t="str">
        <f t="shared" si="14"/>
        <v/>
      </c>
      <c r="B492" s="6"/>
      <c r="C492" s="5"/>
      <c r="D492" s="5"/>
      <c r="E492" s="5"/>
      <c r="F492" s="5"/>
      <c r="G492" s="5"/>
      <c r="H492" s="5"/>
      <c r="I492" s="5" t="str">
        <f ca="1">IFERROR(_xludf.XLOOKUP(H492,BD_VACANTES!A:A,BD_VACANTES!C:C,""),"")</f>
        <v/>
      </c>
      <c r="J492" s="5" t="str">
        <f ca="1">IFERROR(_xludf.XLOOKUP(H492,BD_VACANTES!A:A,BD_VACANTES!E:E,""),"")</f>
        <v/>
      </c>
      <c r="K492" s="5"/>
      <c r="L492" s="5"/>
      <c r="M492" s="5"/>
      <c r="N492" s="5"/>
      <c r="O492" s="5"/>
      <c r="P492" s="6"/>
      <c r="Q492" s="8" t="str">
        <f t="shared" ca="1" si="15"/>
        <v/>
      </c>
      <c r="R492" s="7"/>
      <c r="S492" s="5"/>
    </row>
    <row r="493" spans="1:19">
      <c r="A493" s="5" t="str">
        <f t="shared" si="14"/>
        <v/>
      </c>
      <c r="B493" s="6"/>
      <c r="C493" s="5"/>
      <c r="D493" s="5"/>
      <c r="E493" s="5"/>
      <c r="F493" s="5"/>
      <c r="G493" s="5"/>
      <c r="H493" s="5"/>
      <c r="I493" s="5" t="str">
        <f ca="1">IFERROR(_xludf.XLOOKUP(H493,BD_VACANTES!A:A,BD_VACANTES!C:C,""),"")</f>
        <v/>
      </c>
      <c r="J493" s="5" t="str">
        <f ca="1">IFERROR(_xludf.XLOOKUP(H493,BD_VACANTES!A:A,BD_VACANTES!E:E,""),"")</f>
        <v/>
      </c>
      <c r="K493" s="5"/>
      <c r="L493" s="5"/>
      <c r="M493" s="5"/>
      <c r="N493" s="5"/>
      <c r="O493" s="5"/>
      <c r="P493" s="6"/>
      <c r="Q493" s="8" t="str">
        <f t="shared" ca="1" si="15"/>
        <v/>
      </c>
      <c r="R493" s="7"/>
      <c r="S493" s="5"/>
    </row>
    <row r="494" spans="1:19">
      <c r="A494" s="5" t="str">
        <f t="shared" si="14"/>
        <v/>
      </c>
      <c r="B494" s="6"/>
      <c r="C494" s="5"/>
      <c r="D494" s="5"/>
      <c r="E494" s="5"/>
      <c r="F494" s="5"/>
      <c r="G494" s="5"/>
      <c r="H494" s="5"/>
      <c r="I494" s="5" t="str">
        <f ca="1">IFERROR(_xludf.XLOOKUP(H494,BD_VACANTES!A:A,BD_VACANTES!C:C,""),"")</f>
        <v/>
      </c>
      <c r="J494" s="5" t="str">
        <f ca="1">IFERROR(_xludf.XLOOKUP(H494,BD_VACANTES!A:A,BD_VACANTES!E:E,""),"")</f>
        <v/>
      </c>
      <c r="K494" s="5"/>
      <c r="L494" s="5"/>
      <c r="M494" s="5"/>
      <c r="N494" s="5"/>
      <c r="O494" s="5"/>
      <c r="P494" s="6"/>
      <c r="Q494" s="8" t="str">
        <f t="shared" ca="1" si="15"/>
        <v/>
      </c>
      <c r="R494" s="7"/>
      <c r="S494" s="5"/>
    </row>
    <row r="495" spans="1:19">
      <c r="A495" s="5" t="str">
        <f t="shared" si="14"/>
        <v/>
      </c>
      <c r="B495" s="6"/>
      <c r="C495" s="5"/>
      <c r="D495" s="5"/>
      <c r="E495" s="5"/>
      <c r="F495" s="5"/>
      <c r="G495" s="5"/>
      <c r="H495" s="5"/>
      <c r="I495" s="5" t="str">
        <f ca="1">IFERROR(_xludf.XLOOKUP(H495,BD_VACANTES!A:A,BD_VACANTES!C:C,""),"")</f>
        <v/>
      </c>
      <c r="J495" s="5" t="str">
        <f ca="1">IFERROR(_xludf.XLOOKUP(H495,BD_VACANTES!A:A,BD_VACANTES!E:E,""),"")</f>
        <v/>
      </c>
      <c r="K495" s="5"/>
      <c r="L495" s="5"/>
      <c r="M495" s="5"/>
      <c r="N495" s="5"/>
      <c r="O495" s="5"/>
      <c r="P495" s="6"/>
      <c r="Q495" s="8" t="str">
        <f t="shared" ca="1" si="15"/>
        <v/>
      </c>
      <c r="R495" s="7"/>
      <c r="S495" s="5"/>
    </row>
    <row r="496" spans="1:19">
      <c r="A496" s="5" t="str">
        <f t="shared" si="14"/>
        <v/>
      </c>
      <c r="B496" s="6"/>
      <c r="C496" s="5"/>
      <c r="D496" s="5"/>
      <c r="E496" s="5"/>
      <c r="F496" s="5"/>
      <c r="G496" s="5"/>
      <c r="H496" s="5"/>
      <c r="I496" s="5" t="str">
        <f ca="1">IFERROR(_xludf.XLOOKUP(H496,BD_VACANTES!A:A,BD_VACANTES!C:C,""),"")</f>
        <v/>
      </c>
      <c r="J496" s="5" t="str">
        <f ca="1">IFERROR(_xludf.XLOOKUP(H496,BD_VACANTES!A:A,BD_VACANTES!E:E,""),"")</f>
        <v/>
      </c>
      <c r="K496" s="5"/>
      <c r="L496" s="5"/>
      <c r="M496" s="5"/>
      <c r="N496" s="5"/>
      <c r="O496" s="5"/>
      <c r="P496" s="6"/>
      <c r="Q496" s="8" t="str">
        <f t="shared" ca="1" si="15"/>
        <v/>
      </c>
      <c r="R496" s="7"/>
      <c r="S496" s="5"/>
    </row>
    <row r="497" spans="1:19">
      <c r="A497" s="5" t="str">
        <f t="shared" si="14"/>
        <v/>
      </c>
      <c r="B497" s="6"/>
      <c r="C497" s="5"/>
      <c r="D497" s="5"/>
      <c r="E497" s="5"/>
      <c r="F497" s="5"/>
      <c r="G497" s="5"/>
      <c r="H497" s="5"/>
      <c r="I497" s="5" t="str">
        <f ca="1">IFERROR(_xludf.XLOOKUP(H497,BD_VACANTES!A:A,BD_VACANTES!C:C,""),"")</f>
        <v/>
      </c>
      <c r="J497" s="5" t="str">
        <f ca="1">IFERROR(_xludf.XLOOKUP(H497,BD_VACANTES!A:A,BD_VACANTES!E:E,""),"")</f>
        <v/>
      </c>
      <c r="K497" s="5"/>
      <c r="L497" s="5"/>
      <c r="M497" s="5"/>
      <c r="N497" s="5"/>
      <c r="O497" s="5"/>
      <c r="P497" s="6"/>
      <c r="Q497" s="8" t="str">
        <f t="shared" ca="1" si="15"/>
        <v/>
      </c>
      <c r="R497" s="7"/>
      <c r="S497" s="5"/>
    </row>
    <row r="498" spans="1:19">
      <c r="A498" s="5" t="str">
        <f t="shared" si="14"/>
        <v/>
      </c>
      <c r="B498" s="6"/>
      <c r="C498" s="5"/>
      <c r="D498" s="5"/>
      <c r="E498" s="5"/>
      <c r="F498" s="5"/>
      <c r="G498" s="5"/>
      <c r="H498" s="5"/>
      <c r="I498" s="5" t="str">
        <f ca="1">IFERROR(_xludf.XLOOKUP(H498,BD_VACANTES!A:A,BD_VACANTES!C:C,""),"")</f>
        <v/>
      </c>
      <c r="J498" s="5" t="str">
        <f ca="1">IFERROR(_xludf.XLOOKUP(H498,BD_VACANTES!A:A,BD_VACANTES!E:E,""),"")</f>
        <v/>
      </c>
      <c r="K498" s="5"/>
      <c r="L498" s="5"/>
      <c r="M498" s="5"/>
      <c r="N498" s="5"/>
      <c r="O498" s="5"/>
      <c r="P498" s="6"/>
      <c r="Q498" s="8" t="str">
        <f t="shared" ca="1" si="15"/>
        <v/>
      </c>
      <c r="R498" s="7"/>
      <c r="S498" s="5"/>
    </row>
    <row r="499" spans="1:19">
      <c r="A499" s="5" t="str">
        <f t="shared" si="14"/>
        <v/>
      </c>
      <c r="B499" s="6"/>
      <c r="C499" s="5"/>
      <c r="D499" s="5"/>
      <c r="E499" s="5"/>
      <c r="F499" s="5"/>
      <c r="G499" s="5"/>
      <c r="H499" s="5"/>
      <c r="I499" s="5" t="str">
        <f ca="1">IFERROR(_xludf.XLOOKUP(H499,BD_VACANTES!A:A,BD_VACANTES!C:C,""),"")</f>
        <v/>
      </c>
      <c r="J499" s="5" t="str">
        <f ca="1">IFERROR(_xludf.XLOOKUP(H499,BD_VACANTES!A:A,BD_VACANTES!E:E,""),"")</f>
        <v/>
      </c>
      <c r="K499" s="5"/>
      <c r="L499" s="5"/>
      <c r="M499" s="5"/>
      <c r="N499" s="5"/>
      <c r="O499" s="5"/>
      <c r="P499" s="6"/>
      <c r="Q499" s="8" t="str">
        <f t="shared" ca="1" si="15"/>
        <v/>
      </c>
      <c r="R499" s="7"/>
      <c r="S499" s="5"/>
    </row>
    <row r="500" spans="1:19">
      <c r="A500" s="5" t="str">
        <f t="shared" si="14"/>
        <v/>
      </c>
      <c r="B500" s="6"/>
      <c r="C500" s="5"/>
      <c r="D500" s="5"/>
      <c r="E500" s="5"/>
      <c r="F500" s="5"/>
      <c r="G500" s="5"/>
      <c r="H500" s="5"/>
      <c r="I500" s="5" t="str">
        <f ca="1">IFERROR(_xludf.XLOOKUP(H500,BD_VACANTES!A:A,BD_VACANTES!C:C,""),"")</f>
        <v/>
      </c>
      <c r="J500" s="5" t="str">
        <f ca="1">IFERROR(_xludf.XLOOKUP(H500,BD_VACANTES!A:A,BD_VACANTES!E:E,""),"")</f>
        <v/>
      </c>
      <c r="K500" s="5"/>
      <c r="L500" s="5"/>
      <c r="M500" s="5"/>
      <c r="N500" s="5"/>
      <c r="O500" s="5"/>
      <c r="P500" s="6"/>
      <c r="Q500" s="8" t="str">
        <f t="shared" ca="1" si="15"/>
        <v/>
      </c>
      <c r="R500" s="7"/>
      <c r="S500" s="5"/>
    </row>
  </sheetData>
  <conditionalFormatting sqref="M2:M500">
    <cfRule type="expression" dxfId="1" priority="1">
      <formula>M2="CONTRATADO"</formula>
    </cfRule>
    <cfRule type="expression" dxfId="0" priority="2">
      <formula>M2="DESCARTADO"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BD_VACANTES!$A$2:$A$500</xm:f>
          </x14:formula1>
          <xm:sqref>H2:H500</xm:sqref>
        </x14:dataValidation>
        <x14:dataValidation type="list" xr:uid="{00000000-0002-0000-0100-000001000000}">
          <x14:formula1>
            <xm:f>CATALOGOS!$D$2:$D$6</xm:f>
          </x14:formula1>
          <xm:sqref>K2:K500</xm:sqref>
        </x14:dataValidation>
        <x14:dataValidation type="list" xr:uid="{00000000-0002-0000-0100-000002000000}">
          <x14:formula1>
            <xm:f>CATALOGOS!$F$2:$F$7</xm:f>
          </x14:formula1>
          <xm:sqref>L2:L500</xm:sqref>
        </x14:dataValidation>
        <x14:dataValidation type="list" xr:uid="{00000000-0002-0000-0100-000003000000}">
          <x14:formula1>
            <xm:f>CATALOGOS!$B$2:$B$8</xm:f>
          </x14:formula1>
          <xm:sqref>M2:M500</xm:sqref>
        </x14:dataValidation>
        <x14:dataValidation type="list" xr:uid="{00000000-0002-0000-0100-000004000000}">
          <x14:formula1>
            <xm:f>CATALOGOS!$C$2:$C$3</xm:f>
          </x14:formula1>
          <xm:sqref>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selection activeCell="B2" sqref="B2"/>
    </sheetView>
  </sheetViews>
  <sheetFormatPr baseColWidth="10" defaultColWidth="8.6640625" defaultRowHeight="14"/>
  <cols>
    <col min="1" max="1" width="15.75" customWidth="1"/>
    <col min="2" max="2" width="13.58203125" customWidth="1"/>
    <col min="3" max="3" width="11.75" customWidth="1"/>
    <col min="4" max="4" width="10" customWidth="1"/>
    <col min="5" max="5" width="20.1640625" customWidth="1"/>
    <col min="6" max="6" width="26.25" customWidth="1"/>
    <col min="7" max="7" width="21.4140625" customWidth="1"/>
    <col min="8" max="8" width="18.4140625" customWidth="1"/>
    <col min="9" max="9" width="16.5" customWidth="1"/>
    <col min="10" max="10" width="32" customWidth="1"/>
  </cols>
  <sheetData>
    <row r="1" spans="1:10" ht="28">
      <c r="A1" s="11" t="s">
        <v>27</v>
      </c>
      <c r="B1" s="11" t="s">
        <v>0</v>
      </c>
      <c r="C1" s="11" t="s">
        <v>2</v>
      </c>
      <c r="D1" s="11" t="s">
        <v>4</v>
      </c>
      <c r="E1" s="11" t="s">
        <v>36</v>
      </c>
      <c r="F1" s="11" t="s">
        <v>37</v>
      </c>
      <c r="G1" s="11" t="s">
        <v>38</v>
      </c>
      <c r="H1" s="11" t="s">
        <v>39</v>
      </c>
      <c r="I1" s="11" t="s">
        <v>40</v>
      </c>
      <c r="J1" s="11" t="s">
        <v>19</v>
      </c>
    </row>
    <row r="2" spans="1:10">
      <c r="C2" t="str">
        <f ca="1">IFERROR(_xludf.XLOOKUP(B2,BD_VACANTES!A:A,BD_VACANTES!C:C,""),"")</f>
        <v/>
      </c>
      <c r="D2" t="str">
        <f ca="1">IFERROR(_xludf.XLOOKUP(B2,BD_VACANTES!A:A,BD_VACANTES!E:E,""),"")</f>
        <v/>
      </c>
      <c r="E2" s="4"/>
      <c r="F2">
        <f>COUNTIFS(BD_CANDIDATOS!H:H,B2,BD_CANDIDATOS!K:K,A2)</f>
        <v>0</v>
      </c>
      <c r="G2">
        <f>COUNTIFS(BD_CANDIDATOS!H:H,B2,BD_CANDIDATOS!K:K,A2,BD_CANDIDATOS!N:N,"SI")</f>
        <v>0</v>
      </c>
      <c r="H2">
        <f>COUNTIFS(BD_CANDIDATOS!H:H,B2,BD_CANDIDATOS!K:K,A2,BD_CANDIDATOS!O:O,"SI")</f>
        <v>0</v>
      </c>
      <c r="I2" s="12">
        <f t="shared" ref="I2:I33" si="0">IFERROR(H2/F2,0)</f>
        <v>0</v>
      </c>
    </row>
    <row r="3" spans="1:10">
      <c r="C3" t="str">
        <f ca="1">IFERROR(_xludf.XLOOKUP(B3,BD_VACANTES!A:A,BD_VACANTES!C:C,""),"")</f>
        <v/>
      </c>
      <c r="D3" t="str">
        <f ca="1">IFERROR(_xludf.XLOOKUP(B3,BD_VACANTES!A:A,BD_VACANTES!E:E,""),"")</f>
        <v/>
      </c>
      <c r="E3" s="4"/>
      <c r="F3">
        <f>COUNTIFS(BD_CANDIDATOS!H:H,B3,BD_CANDIDATOS!K:K,A3)</f>
        <v>0</v>
      </c>
      <c r="G3">
        <f>COUNTIFS(BD_CANDIDATOS!H:H,B3,BD_CANDIDATOS!K:K,A3,BD_CANDIDATOS!N:N,"SI")</f>
        <v>0</v>
      </c>
      <c r="H3">
        <f>COUNTIFS(BD_CANDIDATOS!H:H,B3,BD_CANDIDATOS!K:K,A3,BD_CANDIDATOS!O:O,"SI")</f>
        <v>0</v>
      </c>
      <c r="I3" s="12">
        <f t="shared" si="0"/>
        <v>0</v>
      </c>
    </row>
    <row r="4" spans="1:10">
      <c r="C4" t="str">
        <f ca="1">IFERROR(_xludf.XLOOKUP(B4,BD_VACANTES!A:A,BD_VACANTES!C:C,""),"")</f>
        <v/>
      </c>
      <c r="D4" t="str">
        <f ca="1">IFERROR(_xludf.XLOOKUP(B4,BD_VACANTES!A:A,BD_VACANTES!E:E,""),"")</f>
        <v/>
      </c>
      <c r="E4" s="4"/>
      <c r="F4">
        <f>COUNTIFS(BD_CANDIDATOS!H:H,B4,BD_CANDIDATOS!K:K,A4)</f>
        <v>0</v>
      </c>
      <c r="G4">
        <f>COUNTIFS(BD_CANDIDATOS!H:H,B4,BD_CANDIDATOS!K:K,A4,BD_CANDIDATOS!N:N,"SI")</f>
        <v>0</v>
      </c>
      <c r="H4">
        <f>COUNTIFS(BD_CANDIDATOS!H:H,B4,BD_CANDIDATOS!K:K,A4,BD_CANDIDATOS!O:O,"SI")</f>
        <v>0</v>
      </c>
      <c r="I4" s="12">
        <f t="shared" si="0"/>
        <v>0</v>
      </c>
    </row>
    <row r="5" spans="1:10">
      <c r="C5" t="str">
        <f ca="1">IFERROR(_xludf.XLOOKUP(B5,BD_VACANTES!A:A,BD_VACANTES!C:C,""),"")</f>
        <v/>
      </c>
      <c r="D5" t="str">
        <f ca="1">IFERROR(_xludf.XLOOKUP(B5,BD_VACANTES!A:A,BD_VACANTES!E:E,""),"")</f>
        <v/>
      </c>
      <c r="E5" s="4"/>
      <c r="F5">
        <f>COUNTIFS(BD_CANDIDATOS!H:H,B5,BD_CANDIDATOS!K:K,A5)</f>
        <v>0</v>
      </c>
      <c r="G5">
        <f>COUNTIFS(BD_CANDIDATOS!H:H,B5,BD_CANDIDATOS!K:K,A5,BD_CANDIDATOS!N:N,"SI")</f>
        <v>0</v>
      </c>
      <c r="H5">
        <f>COUNTIFS(BD_CANDIDATOS!H:H,B5,BD_CANDIDATOS!K:K,A5,BD_CANDIDATOS!O:O,"SI")</f>
        <v>0</v>
      </c>
      <c r="I5" s="12">
        <f t="shared" si="0"/>
        <v>0</v>
      </c>
    </row>
    <row r="6" spans="1:10">
      <c r="C6" t="str">
        <f ca="1">IFERROR(_xludf.XLOOKUP(B6,BD_VACANTES!A:A,BD_VACANTES!C:C,""),"")</f>
        <v/>
      </c>
      <c r="D6" t="str">
        <f ca="1">IFERROR(_xludf.XLOOKUP(B6,BD_VACANTES!A:A,BD_VACANTES!E:E,""),"")</f>
        <v/>
      </c>
      <c r="E6" s="4"/>
      <c r="F6">
        <f>COUNTIFS(BD_CANDIDATOS!H:H,B6,BD_CANDIDATOS!K:K,A6)</f>
        <v>0</v>
      </c>
      <c r="G6">
        <f>COUNTIFS(BD_CANDIDATOS!H:H,B6,BD_CANDIDATOS!K:K,A6,BD_CANDIDATOS!N:N,"SI")</f>
        <v>0</v>
      </c>
      <c r="H6">
        <f>COUNTIFS(BD_CANDIDATOS!H:H,B6,BD_CANDIDATOS!K:K,A6,BD_CANDIDATOS!O:O,"SI")</f>
        <v>0</v>
      </c>
      <c r="I6" s="12">
        <f t="shared" si="0"/>
        <v>0</v>
      </c>
    </row>
    <row r="7" spans="1:10">
      <c r="C7" t="str">
        <f ca="1">IFERROR(_xludf.XLOOKUP(B7,BD_VACANTES!A:A,BD_VACANTES!C:C,""),"")</f>
        <v/>
      </c>
      <c r="D7" t="str">
        <f ca="1">IFERROR(_xludf.XLOOKUP(B7,BD_VACANTES!A:A,BD_VACANTES!E:E,""),"")</f>
        <v/>
      </c>
      <c r="E7" s="4"/>
      <c r="F7">
        <f>COUNTIFS(BD_CANDIDATOS!H:H,B7,BD_CANDIDATOS!K:K,A7)</f>
        <v>0</v>
      </c>
      <c r="G7">
        <f>COUNTIFS(BD_CANDIDATOS!H:H,B7,BD_CANDIDATOS!K:K,A7,BD_CANDIDATOS!N:N,"SI")</f>
        <v>0</v>
      </c>
      <c r="H7">
        <f>COUNTIFS(BD_CANDIDATOS!H:H,B7,BD_CANDIDATOS!K:K,A7,BD_CANDIDATOS!O:O,"SI")</f>
        <v>0</v>
      </c>
      <c r="I7" s="12">
        <f t="shared" si="0"/>
        <v>0</v>
      </c>
    </row>
    <row r="8" spans="1:10">
      <c r="C8" t="str">
        <f ca="1">IFERROR(_xludf.XLOOKUP(B8,BD_VACANTES!A:A,BD_VACANTES!C:C,""),"")</f>
        <v/>
      </c>
      <c r="D8" t="str">
        <f ca="1">IFERROR(_xludf.XLOOKUP(B8,BD_VACANTES!A:A,BD_VACANTES!E:E,""),"")</f>
        <v/>
      </c>
      <c r="E8" s="4"/>
      <c r="F8">
        <f>COUNTIFS(BD_CANDIDATOS!H:H,B8,BD_CANDIDATOS!K:K,A8)</f>
        <v>0</v>
      </c>
      <c r="G8">
        <f>COUNTIFS(BD_CANDIDATOS!H:H,B8,BD_CANDIDATOS!K:K,A8,BD_CANDIDATOS!N:N,"SI")</f>
        <v>0</v>
      </c>
      <c r="H8">
        <f>COUNTIFS(BD_CANDIDATOS!H:H,B8,BD_CANDIDATOS!K:K,A8,BD_CANDIDATOS!O:O,"SI")</f>
        <v>0</v>
      </c>
      <c r="I8" s="12">
        <f t="shared" si="0"/>
        <v>0</v>
      </c>
    </row>
    <row r="9" spans="1:10">
      <c r="C9" t="str">
        <f ca="1">IFERROR(_xludf.XLOOKUP(B9,BD_VACANTES!A:A,BD_VACANTES!C:C,""),"")</f>
        <v/>
      </c>
      <c r="D9" t="str">
        <f ca="1">IFERROR(_xludf.XLOOKUP(B9,BD_VACANTES!A:A,BD_VACANTES!E:E,""),"")</f>
        <v/>
      </c>
      <c r="E9" s="4"/>
      <c r="F9">
        <f>COUNTIFS(BD_CANDIDATOS!H:H,B9,BD_CANDIDATOS!K:K,A9)</f>
        <v>0</v>
      </c>
      <c r="G9">
        <f>COUNTIFS(BD_CANDIDATOS!H:H,B9,BD_CANDIDATOS!K:K,A9,BD_CANDIDATOS!N:N,"SI")</f>
        <v>0</v>
      </c>
      <c r="H9">
        <f>COUNTIFS(BD_CANDIDATOS!H:H,B9,BD_CANDIDATOS!K:K,A9,BD_CANDIDATOS!O:O,"SI")</f>
        <v>0</v>
      </c>
      <c r="I9" s="12">
        <f t="shared" si="0"/>
        <v>0</v>
      </c>
    </row>
    <row r="10" spans="1:10">
      <c r="C10" t="str">
        <f ca="1">IFERROR(_xludf.XLOOKUP(B10,BD_VACANTES!A:A,BD_VACANTES!C:C,""),"")</f>
        <v/>
      </c>
      <c r="D10" t="str">
        <f ca="1">IFERROR(_xludf.XLOOKUP(B10,BD_VACANTES!A:A,BD_VACANTES!E:E,""),"")</f>
        <v/>
      </c>
      <c r="E10" s="4"/>
      <c r="F10">
        <f>COUNTIFS(BD_CANDIDATOS!H:H,B10,BD_CANDIDATOS!K:K,A10)</f>
        <v>0</v>
      </c>
      <c r="G10">
        <f>COUNTIFS(BD_CANDIDATOS!H:H,B10,BD_CANDIDATOS!K:K,A10,BD_CANDIDATOS!N:N,"SI")</f>
        <v>0</v>
      </c>
      <c r="H10">
        <f>COUNTIFS(BD_CANDIDATOS!H:H,B10,BD_CANDIDATOS!K:K,A10,BD_CANDIDATOS!O:O,"SI")</f>
        <v>0</v>
      </c>
      <c r="I10" s="12">
        <f t="shared" si="0"/>
        <v>0</v>
      </c>
    </row>
    <row r="11" spans="1:10">
      <c r="C11" t="str">
        <f ca="1">IFERROR(_xludf.XLOOKUP(B11,BD_VACANTES!A:A,BD_VACANTES!C:C,""),"")</f>
        <v/>
      </c>
      <c r="D11" t="str">
        <f ca="1">IFERROR(_xludf.XLOOKUP(B11,BD_VACANTES!A:A,BD_VACANTES!E:E,""),"")</f>
        <v/>
      </c>
      <c r="E11" s="4"/>
      <c r="F11">
        <f>COUNTIFS(BD_CANDIDATOS!H:H,B11,BD_CANDIDATOS!K:K,A11)</f>
        <v>0</v>
      </c>
      <c r="G11">
        <f>COUNTIFS(BD_CANDIDATOS!H:H,B11,BD_CANDIDATOS!K:K,A11,BD_CANDIDATOS!N:N,"SI")</f>
        <v>0</v>
      </c>
      <c r="H11">
        <f>COUNTIFS(BD_CANDIDATOS!H:H,B11,BD_CANDIDATOS!K:K,A11,BD_CANDIDATOS!O:O,"SI")</f>
        <v>0</v>
      </c>
      <c r="I11" s="12">
        <f t="shared" si="0"/>
        <v>0</v>
      </c>
    </row>
    <row r="12" spans="1:10">
      <c r="C12" t="str">
        <f ca="1">IFERROR(_xludf.XLOOKUP(B12,BD_VACANTES!A:A,BD_VACANTES!C:C,""),"")</f>
        <v/>
      </c>
      <c r="D12" t="str">
        <f ca="1">IFERROR(_xludf.XLOOKUP(B12,BD_VACANTES!A:A,BD_VACANTES!E:E,""),"")</f>
        <v/>
      </c>
      <c r="E12" s="4"/>
      <c r="F12">
        <f>COUNTIFS(BD_CANDIDATOS!H:H,B12,BD_CANDIDATOS!K:K,A12)</f>
        <v>0</v>
      </c>
      <c r="G12">
        <f>COUNTIFS(BD_CANDIDATOS!H:H,B12,BD_CANDIDATOS!K:K,A12,BD_CANDIDATOS!N:N,"SI")</f>
        <v>0</v>
      </c>
      <c r="H12">
        <f>COUNTIFS(BD_CANDIDATOS!H:H,B12,BD_CANDIDATOS!K:K,A12,BD_CANDIDATOS!O:O,"SI")</f>
        <v>0</v>
      </c>
      <c r="I12" s="12">
        <f t="shared" si="0"/>
        <v>0</v>
      </c>
    </row>
    <row r="13" spans="1:10">
      <c r="C13" t="str">
        <f ca="1">IFERROR(_xludf.XLOOKUP(B13,BD_VACANTES!A:A,BD_VACANTES!C:C,""),"")</f>
        <v/>
      </c>
      <c r="D13" t="str">
        <f ca="1">IFERROR(_xludf.XLOOKUP(B13,BD_VACANTES!A:A,BD_VACANTES!E:E,""),"")</f>
        <v/>
      </c>
      <c r="E13" s="4"/>
      <c r="F13">
        <f>COUNTIFS(BD_CANDIDATOS!H:H,B13,BD_CANDIDATOS!K:K,A13)</f>
        <v>0</v>
      </c>
      <c r="G13">
        <f>COUNTIFS(BD_CANDIDATOS!H:H,B13,BD_CANDIDATOS!K:K,A13,BD_CANDIDATOS!N:N,"SI")</f>
        <v>0</v>
      </c>
      <c r="H13">
        <f>COUNTIFS(BD_CANDIDATOS!H:H,B13,BD_CANDIDATOS!K:K,A13,BD_CANDIDATOS!O:O,"SI")</f>
        <v>0</v>
      </c>
      <c r="I13" s="12">
        <f t="shared" si="0"/>
        <v>0</v>
      </c>
    </row>
    <row r="14" spans="1:10">
      <c r="C14" t="str">
        <f ca="1">IFERROR(_xludf.XLOOKUP(B14,BD_VACANTES!A:A,BD_VACANTES!C:C,""),"")</f>
        <v/>
      </c>
      <c r="D14" t="str">
        <f ca="1">IFERROR(_xludf.XLOOKUP(B14,BD_VACANTES!A:A,BD_VACANTES!E:E,""),"")</f>
        <v/>
      </c>
      <c r="E14" s="4"/>
      <c r="F14">
        <f>COUNTIFS(BD_CANDIDATOS!H:H,B14,BD_CANDIDATOS!K:K,A14)</f>
        <v>0</v>
      </c>
      <c r="G14">
        <f>COUNTIFS(BD_CANDIDATOS!H:H,B14,BD_CANDIDATOS!K:K,A14,BD_CANDIDATOS!N:N,"SI")</f>
        <v>0</v>
      </c>
      <c r="H14">
        <f>COUNTIFS(BD_CANDIDATOS!H:H,B14,BD_CANDIDATOS!K:K,A14,BD_CANDIDATOS!O:O,"SI")</f>
        <v>0</v>
      </c>
      <c r="I14" s="12">
        <f t="shared" si="0"/>
        <v>0</v>
      </c>
    </row>
    <row r="15" spans="1:10">
      <c r="C15" t="str">
        <f ca="1">IFERROR(_xludf.XLOOKUP(B15,BD_VACANTES!A:A,BD_VACANTES!C:C,""),"")</f>
        <v/>
      </c>
      <c r="D15" t="str">
        <f ca="1">IFERROR(_xludf.XLOOKUP(B15,BD_VACANTES!A:A,BD_VACANTES!E:E,""),"")</f>
        <v/>
      </c>
      <c r="E15" s="4"/>
      <c r="F15">
        <f>COUNTIFS(BD_CANDIDATOS!H:H,B15,BD_CANDIDATOS!K:K,A15)</f>
        <v>0</v>
      </c>
      <c r="G15">
        <f>COUNTIFS(BD_CANDIDATOS!H:H,B15,BD_CANDIDATOS!K:K,A15,BD_CANDIDATOS!N:N,"SI")</f>
        <v>0</v>
      </c>
      <c r="H15">
        <f>COUNTIFS(BD_CANDIDATOS!H:H,B15,BD_CANDIDATOS!K:K,A15,BD_CANDIDATOS!O:O,"SI")</f>
        <v>0</v>
      </c>
      <c r="I15" s="12">
        <f t="shared" si="0"/>
        <v>0</v>
      </c>
    </row>
    <row r="16" spans="1:10">
      <c r="C16" t="str">
        <f ca="1">IFERROR(_xludf.XLOOKUP(B16,BD_VACANTES!A:A,BD_VACANTES!C:C,""),"")</f>
        <v/>
      </c>
      <c r="D16" t="str">
        <f ca="1">IFERROR(_xludf.XLOOKUP(B16,BD_VACANTES!A:A,BD_VACANTES!E:E,""),"")</f>
        <v/>
      </c>
      <c r="E16" s="4"/>
      <c r="F16">
        <f>COUNTIFS(BD_CANDIDATOS!H:H,B16,BD_CANDIDATOS!K:K,A16)</f>
        <v>0</v>
      </c>
      <c r="G16">
        <f>COUNTIFS(BD_CANDIDATOS!H:H,B16,BD_CANDIDATOS!K:K,A16,BD_CANDIDATOS!N:N,"SI")</f>
        <v>0</v>
      </c>
      <c r="H16">
        <f>COUNTIFS(BD_CANDIDATOS!H:H,B16,BD_CANDIDATOS!K:K,A16,BD_CANDIDATOS!O:O,"SI")</f>
        <v>0</v>
      </c>
      <c r="I16" s="12">
        <f t="shared" si="0"/>
        <v>0</v>
      </c>
    </row>
    <row r="17" spans="3:9">
      <c r="C17" t="str">
        <f ca="1">IFERROR(_xludf.XLOOKUP(B17,BD_VACANTES!A:A,BD_VACANTES!C:C,""),"")</f>
        <v/>
      </c>
      <c r="D17" t="str">
        <f ca="1">IFERROR(_xludf.XLOOKUP(B17,BD_VACANTES!A:A,BD_VACANTES!E:E,""),"")</f>
        <v/>
      </c>
      <c r="E17" s="4"/>
      <c r="F17">
        <f>COUNTIFS(BD_CANDIDATOS!H:H,B17,BD_CANDIDATOS!K:K,A17)</f>
        <v>0</v>
      </c>
      <c r="G17">
        <f>COUNTIFS(BD_CANDIDATOS!H:H,B17,BD_CANDIDATOS!K:K,A17,BD_CANDIDATOS!N:N,"SI")</f>
        <v>0</v>
      </c>
      <c r="H17">
        <f>COUNTIFS(BD_CANDIDATOS!H:H,B17,BD_CANDIDATOS!K:K,A17,BD_CANDIDATOS!O:O,"SI")</f>
        <v>0</v>
      </c>
      <c r="I17" s="12">
        <f t="shared" si="0"/>
        <v>0</v>
      </c>
    </row>
    <row r="18" spans="3:9">
      <c r="C18" t="str">
        <f ca="1">IFERROR(_xludf.XLOOKUP(B18,BD_VACANTES!A:A,BD_VACANTES!C:C,""),"")</f>
        <v/>
      </c>
      <c r="D18" t="str">
        <f ca="1">IFERROR(_xludf.XLOOKUP(B18,BD_VACANTES!A:A,BD_VACANTES!E:E,""),"")</f>
        <v/>
      </c>
      <c r="E18" s="4"/>
      <c r="F18">
        <f>COUNTIFS(BD_CANDIDATOS!H:H,B18,BD_CANDIDATOS!K:K,A18)</f>
        <v>0</v>
      </c>
      <c r="G18">
        <f>COUNTIFS(BD_CANDIDATOS!H:H,B18,BD_CANDIDATOS!K:K,A18,BD_CANDIDATOS!N:N,"SI")</f>
        <v>0</v>
      </c>
      <c r="H18">
        <f>COUNTIFS(BD_CANDIDATOS!H:H,B18,BD_CANDIDATOS!K:K,A18,BD_CANDIDATOS!O:O,"SI")</f>
        <v>0</v>
      </c>
      <c r="I18" s="12">
        <f t="shared" si="0"/>
        <v>0</v>
      </c>
    </row>
    <row r="19" spans="3:9">
      <c r="C19" t="str">
        <f ca="1">IFERROR(_xludf.XLOOKUP(B19,BD_VACANTES!A:A,BD_VACANTES!C:C,""),"")</f>
        <v/>
      </c>
      <c r="D19" t="str">
        <f ca="1">IFERROR(_xludf.XLOOKUP(B19,BD_VACANTES!A:A,BD_VACANTES!E:E,""),"")</f>
        <v/>
      </c>
      <c r="E19" s="4"/>
      <c r="F19">
        <f>COUNTIFS(BD_CANDIDATOS!H:H,B19,BD_CANDIDATOS!K:K,A19)</f>
        <v>0</v>
      </c>
      <c r="G19">
        <f>COUNTIFS(BD_CANDIDATOS!H:H,B19,BD_CANDIDATOS!K:K,A19,BD_CANDIDATOS!N:N,"SI")</f>
        <v>0</v>
      </c>
      <c r="H19">
        <f>COUNTIFS(BD_CANDIDATOS!H:H,B19,BD_CANDIDATOS!K:K,A19,BD_CANDIDATOS!O:O,"SI")</f>
        <v>0</v>
      </c>
      <c r="I19" s="12">
        <f t="shared" si="0"/>
        <v>0</v>
      </c>
    </row>
    <row r="20" spans="3:9">
      <c r="C20" t="str">
        <f ca="1">IFERROR(_xludf.XLOOKUP(B20,BD_VACANTES!A:A,BD_VACANTES!C:C,""),"")</f>
        <v/>
      </c>
      <c r="D20" t="str">
        <f ca="1">IFERROR(_xludf.XLOOKUP(B20,BD_VACANTES!A:A,BD_VACANTES!E:E,""),"")</f>
        <v/>
      </c>
      <c r="E20" s="4"/>
      <c r="F20">
        <f>COUNTIFS(BD_CANDIDATOS!H:H,B20,BD_CANDIDATOS!K:K,A20)</f>
        <v>0</v>
      </c>
      <c r="G20">
        <f>COUNTIFS(BD_CANDIDATOS!H:H,B20,BD_CANDIDATOS!K:K,A20,BD_CANDIDATOS!N:N,"SI")</f>
        <v>0</v>
      </c>
      <c r="H20">
        <f>COUNTIFS(BD_CANDIDATOS!H:H,B20,BD_CANDIDATOS!K:K,A20,BD_CANDIDATOS!O:O,"SI")</f>
        <v>0</v>
      </c>
      <c r="I20" s="12">
        <f t="shared" si="0"/>
        <v>0</v>
      </c>
    </row>
    <row r="21" spans="3:9">
      <c r="C21" t="str">
        <f ca="1">IFERROR(_xludf.XLOOKUP(B21,BD_VACANTES!A:A,BD_VACANTES!C:C,""),"")</f>
        <v/>
      </c>
      <c r="D21" t="str">
        <f ca="1">IFERROR(_xludf.XLOOKUP(B21,BD_VACANTES!A:A,BD_VACANTES!E:E,""),"")</f>
        <v/>
      </c>
      <c r="E21" s="4"/>
      <c r="F21">
        <f>COUNTIFS(BD_CANDIDATOS!H:H,B21,BD_CANDIDATOS!K:K,A21)</f>
        <v>0</v>
      </c>
      <c r="G21">
        <f>COUNTIFS(BD_CANDIDATOS!H:H,B21,BD_CANDIDATOS!K:K,A21,BD_CANDIDATOS!N:N,"SI")</f>
        <v>0</v>
      </c>
      <c r="H21">
        <f>COUNTIFS(BD_CANDIDATOS!H:H,B21,BD_CANDIDATOS!K:K,A21,BD_CANDIDATOS!O:O,"SI")</f>
        <v>0</v>
      </c>
      <c r="I21" s="12">
        <f t="shared" si="0"/>
        <v>0</v>
      </c>
    </row>
    <row r="22" spans="3:9">
      <c r="C22" t="str">
        <f ca="1">IFERROR(_xludf.XLOOKUP(B22,BD_VACANTES!A:A,BD_VACANTES!C:C,""),"")</f>
        <v/>
      </c>
      <c r="D22" t="str">
        <f ca="1">IFERROR(_xludf.XLOOKUP(B22,BD_VACANTES!A:A,BD_VACANTES!E:E,""),"")</f>
        <v/>
      </c>
      <c r="E22" s="4"/>
      <c r="F22">
        <f>COUNTIFS(BD_CANDIDATOS!H:H,B22,BD_CANDIDATOS!K:K,A22)</f>
        <v>0</v>
      </c>
      <c r="G22">
        <f>COUNTIFS(BD_CANDIDATOS!H:H,B22,BD_CANDIDATOS!K:K,A22,BD_CANDIDATOS!N:N,"SI")</f>
        <v>0</v>
      </c>
      <c r="H22">
        <f>COUNTIFS(BD_CANDIDATOS!H:H,B22,BD_CANDIDATOS!K:K,A22,BD_CANDIDATOS!O:O,"SI")</f>
        <v>0</v>
      </c>
      <c r="I22" s="12">
        <f t="shared" si="0"/>
        <v>0</v>
      </c>
    </row>
    <row r="23" spans="3:9">
      <c r="C23" t="str">
        <f ca="1">IFERROR(_xludf.XLOOKUP(B23,BD_VACANTES!A:A,BD_VACANTES!C:C,""),"")</f>
        <v/>
      </c>
      <c r="D23" t="str">
        <f ca="1">IFERROR(_xludf.XLOOKUP(B23,BD_VACANTES!A:A,BD_VACANTES!E:E,""),"")</f>
        <v/>
      </c>
      <c r="E23" s="4"/>
      <c r="F23">
        <f>COUNTIFS(BD_CANDIDATOS!H:H,B23,BD_CANDIDATOS!K:K,A23)</f>
        <v>0</v>
      </c>
      <c r="G23">
        <f>COUNTIFS(BD_CANDIDATOS!H:H,B23,BD_CANDIDATOS!K:K,A23,BD_CANDIDATOS!N:N,"SI")</f>
        <v>0</v>
      </c>
      <c r="H23">
        <f>COUNTIFS(BD_CANDIDATOS!H:H,B23,BD_CANDIDATOS!K:K,A23,BD_CANDIDATOS!O:O,"SI")</f>
        <v>0</v>
      </c>
      <c r="I23" s="12">
        <f t="shared" si="0"/>
        <v>0</v>
      </c>
    </row>
    <row r="24" spans="3:9">
      <c r="C24" t="str">
        <f ca="1">IFERROR(_xludf.XLOOKUP(B24,BD_VACANTES!A:A,BD_VACANTES!C:C,""),"")</f>
        <v/>
      </c>
      <c r="D24" t="str">
        <f ca="1">IFERROR(_xludf.XLOOKUP(B24,BD_VACANTES!A:A,BD_VACANTES!E:E,""),"")</f>
        <v/>
      </c>
      <c r="E24" s="4"/>
      <c r="F24">
        <f>COUNTIFS(BD_CANDIDATOS!H:H,B24,BD_CANDIDATOS!K:K,A24)</f>
        <v>0</v>
      </c>
      <c r="G24">
        <f>COUNTIFS(BD_CANDIDATOS!H:H,B24,BD_CANDIDATOS!K:K,A24,BD_CANDIDATOS!N:N,"SI")</f>
        <v>0</v>
      </c>
      <c r="H24">
        <f>COUNTIFS(BD_CANDIDATOS!H:H,B24,BD_CANDIDATOS!K:K,A24,BD_CANDIDATOS!O:O,"SI")</f>
        <v>0</v>
      </c>
      <c r="I24" s="12">
        <f t="shared" si="0"/>
        <v>0</v>
      </c>
    </row>
    <row r="25" spans="3:9">
      <c r="C25" t="str">
        <f ca="1">IFERROR(_xludf.XLOOKUP(B25,BD_VACANTES!A:A,BD_VACANTES!C:C,""),"")</f>
        <v/>
      </c>
      <c r="D25" t="str">
        <f ca="1">IFERROR(_xludf.XLOOKUP(B25,BD_VACANTES!A:A,BD_VACANTES!E:E,""),"")</f>
        <v/>
      </c>
      <c r="E25" s="4"/>
      <c r="F25">
        <f>COUNTIFS(BD_CANDIDATOS!H:H,B25,BD_CANDIDATOS!K:K,A25)</f>
        <v>0</v>
      </c>
      <c r="G25">
        <f>COUNTIFS(BD_CANDIDATOS!H:H,B25,BD_CANDIDATOS!K:K,A25,BD_CANDIDATOS!N:N,"SI")</f>
        <v>0</v>
      </c>
      <c r="H25">
        <f>COUNTIFS(BD_CANDIDATOS!H:H,B25,BD_CANDIDATOS!K:K,A25,BD_CANDIDATOS!O:O,"SI")</f>
        <v>0</v>
      </c>
      <c r="I25" s="12">
        <f t="shared" si="0"/>
        <v>0</v>
      </c>
    </row>
    <row r="26" spans="3:9">
      <c r="C26" t="str">
        <f ca="1">IFERROR(_xludf.XLOOKUP(B26,BD_VACANTES!A:A,BD_VACANTES!C:C,""),"")</f>
        <v/>
      </c>
      <c r="D26" t="str">
        <f ca="1">IFERROR(_xludf.XLOOKUP(B26,BD_VACANTES!A:A,BD_VACANTES!E:E,""),"")</f>
        <v/>
      </c>
      <c r="E26" s="4"/>
      <c r="F26">
        <f>COUNTIFS(BD_CANDIDATOS!H:H,B26,BD_CANDIDATOS!K:K,A26)</f>
        <v>0</v>
      </c>
      <c r="G26">
        <f>COUNTIFS(BD_CANDIDATOS!H:H,B26,BD_CANDIDATOS!K:K,A26,BD_CANDIDATOS!N:N,"SI")</f>
        <v>0</v>
      </c>
      <c r="H26">
        <f>COUNTIFS(BD_CANDIDATOS!H:H,B26,BD_CANDIDATOS!K:K,A26,BD_CANDIDATOS!O:O,"SI")</f>
        <v>0</v>
      </c>
      <c r="I26" s="12">
        <f t="shared" si="0"/>
        <v>0</v>
      </c>
    </row>
    <row r="27" spans="3:9">
      <c r="C27" t="str">
        <f ca="1">IFERROR(_xludf.XLOOKUP(B27,BD_VACANTES!A:A,BD_VACANTES!C:C,""),"")</f>
        <v/>
      </c>
      <c r="D27" t="str">
        <f ca="1">IFERROR(_xludf.XLOOKUP(B27,BD_VACANTES!A:A,BD_VACANTES!E:E,""),"")</f>
        <v/>
      </c>
      <c r="E27" s="4"/>
      <c r="F27">
        <f>COUNTIFS(BD_CANDIDATOS!H:H,B27,BD_CANDIDATOS!K:K,A27)</f>
        <v>0</v>
      </c>
      <c r="G27">
        <f>COUNTIFS(BD_CANDIDATOS!H:H,B27,BD_CANDIDATOS!K:K,A27,BD_CANDIDATOS!N:N,"SI")</f>
        <v>0</v>
      </c>
      <c r="H27">
        <f>COUNTIFS(BD_CANDIDATOS!H:H,B27,BD_CANDIDATOS!K:K,A27,BD_CANDIDATOS!O:O,"SI")</f>
        <v>0</v>
      </c>
      <c r="I27" s="12">
        <f t="shared" si="0"/>
        <v>0</v>
      </c>
    </row>
    <row r="28" spans="3:9">
      <c r="C28" t="str">
        <f ca="1">IFERROR(_xludf.XLOOKUP(B28,BD_VACANTES!A:A,BD_VACANTES!C:C,""),"")</f>
        <v/>
      </c>
      <c r="D28" t="str">
        <f ca="1">IFERROR(_xludf.XLOOKUP(B28,BD_VACANTES!A:A,BD_VACANTES!E:E,""),"")</f>
        <v/>
      </c>
      <c r="E28" s="4"/>
      <c r="F28">
        <f>COUNTIFS(BD_CANDIDATOS!H:H,B28,BD_CANDIDATOS!K:K,A28)</f>
        <v>0</v>
      </c>
      <c r="G28">
        <f>COUNTIFS(BD_CANDIDATOS!H:H,B28,BD_CANDIDATOS!K:K,A28,BD_CANDIDATOS!N:N,"SI")</f>
        <v>0</v>
      </c>
      <c r="H28">
        <f>COUNTIFS(BD_CANDIDATOS!H:H,B28,BD_CANDIDATOS!K:K,A28,BD_CANDIDATOS!O:O,"SI")</f>
        <v>0</v>
      </c>
      <c r="I28" s="12">
        <f t="shared" si="0"/>
        <v>0</v>
      </c>
    </row>
    <row r="29" spans="3:9">
      <c r="C29" t="str">
        <f ca="1">IFERROR(_xludf.XLOOKUP(B29,BD_VACANTES!A:A,BD_VACANTES!C:C,""),"")</f>
        <v/>
      </c>
      <c r="D29" t="str">
        <f ca="1">IFERROR(_xludf.XLOOKUP(B29,BD_VACANTES!A:A,BD_VACANTES!E:E,""),"")</f>
        <v/>
      </c>
      <c r="E29" s="4"/>
      <c r="F29">
        <f>COUNTIFS(BD_CANDIDATOS!H:H,B29,BD_CANDIDATOS!K:K,A29)</f>
        <v>0</v>
      </c>
      <c r="G29">
        <f>COUNTIFS(BD_CANDIDATOS!H:H,B29,BD_CANDIDATOS!K:K,A29,BD_CANDIDATOS!N:N,"SI")</f>
        <v>0</v>
      </c>
      <c r="H29">
        <f>COUNTIFS(BD_CANDIDATOS!H:H,B29,BD_CANDIDATOS!K:K,A29,BD_CANDIDATOS!O:O,"SI")</f>
        <v>0</v>
      </c>
      <c r="I29" s="12">
        <f t="shared" si="0"/>
        <v>0</v>
      </c>
    </row>
    <row r="30" spans="3:9">
      <c r="C30" t="str">
        <f ca="1">IFERROR(_xludf.XLOOKUP(B30,BD_VACANTES!A:A,BD_VACANTES!C:C,""),"")</f>
        <v/>
      </c>
      <c r="D30" t="str">
        <f ca="1">IFERROR(_xludf.XLOOKUP(B30,BD_VACANTES!A:A,BD_VACANTES!E:E,""),"")</f>
        <v/>
      </c>
      <c r="E30" s="4"/>
      <c r="F30">
        <f>COUNTIFS(BD_CANDIDATOS!H:H,B30,BD_CANDIDATOS!K:K,A30)</f>
        <v>0</v>
      </c>
      <c r="G30">
        <f>COUNTIFS(BD_CANDIDATOS!H:H,B30,BD_CANDIDATOS!K:K,A30,BD_CANDIDATOS!N:N,"SI")</f>
        <v>0</v>
      </c>
      <c r="H30">
        <f>COUNTIFS(BD_CANDIDATOS!H:H,B30,BD_CANDIDATOS!K:K,A30,BD_CANDIDATOS!O:O,"SI")</f>
        <v>0</v>
      </c>
      <c r="I30" s="12">
        <f t="shared" si="0"/>
        <v>0</v>
      </c>
    </row>
    <row r="31" spans="3:9">
      <c r="C31" t="str">
        <f ca="1">IFERROR(_xludf.XLOOKUP(B31,BD_VACANTES!A:A,BD_VACANTES!C:C,""),"")</f>
        <v/>
      </c>
      <c r="D31" t="str">
        <f ca="1">IFERROR(_xludf.XLOOKUP(B31,BD_VACANTES!A:A,BD_VACANTES!E:E,""),"")</f>
        <v/>
      </c>
      <c r="E31" s="4"/>
      <c r="F31">
        <f>COUNTIFS(BD_CANDIDATOS!H:H,B31,BD_CANDIDATOS!K:K,A31)</f>
        <v>0</v>
      </c>
      <c r="G31">
        <f>COUNTIFS(BD_CANDIDATOS!H:H,B31,BD_CANDIDATOS!K:K,A31,BD_CANDIDATOS!N:N,"SI")</f>
        <v>0</v>
      </c>
      <c r="H31">
        <f>COUNTIFS(BD_CANDIDATOS!H:H,B31,BD_CANDIDATOS!K:K,A31,BD_CANDIDATOS!O:O,"SI")</f>
        <v>0</v>
      </c>
      <c r="I31" s="12">
        <f t="shared" si="0"/>
        <v>0</v>
      </c>
    </row>
    <row r="32" spans="3:9">
      <c r="C32" t="str">
        <f ca="1">IFERROR(_xludf.XLOOKUP(B32,BD_VACANTES!A:A,BD_VACANTES!C:C,""),"")</f>
        <v/>
      </c>
      <c r="D32" t="str">
        <f ca="1">IFERROR(_xludf.XLOOKUP(B32,BD_VACANTES!A:A,BD_VACANTES!E:E,""),"")</f>
        <v/>
      </c>
      <c r="E32" s="4"/>
      <c r="F32">
        <f>COUNTIFS(BD_CANDIDATOS!H:H,B32,BD_CANDIDATOS!K:K,A32)</f>
        <v>0</v>
      </c>
      <c r="G32">
        <f>COUNTIFS(BD_CANDIDATOS!H:H,B32,BD_CANDIDATOS!K:K,A32,BD_CANDIDATOS!N:N,"SI")</f>
        <v>0</v>
      </c>
      <c r="H32">
        <f>COUNTIFS(BD_CANDIDATOS!H:H,B32,BD_CANDIDATOS!K:K,A32,BD_CANDIDATOS!O:O,"SI")</f>
        <v>0</v>
      </c>
      <c r="I32" s="12">
        <f t="shared" si="0"/>
        <v>0</v>
      </c>
    </row>
    <row r="33" spans="3:9">
      <c r="C33" t="str">
        <f ca="1">IFERROR(_xludf.XLOOKUP(B33,BD_VACANTES!A:A,BD_VACANTES!C:C,""),"")</f>
        <v/>
      </c>
      <c r="D33" t="str">
        <f ca="1">IFERROR(_xludf.XLOOKUP(B33,BD_VACANTES!A:A,BD_VACANTES!E:E,""),"")</f>
        <v/>
      </c>
      <c r="E33" s="4"/>
      <c r="F33">
        <f>COUNTIFS(BD_CANDIDATOS!H:H,B33,BD_CANDIDATOS!K:K,A33)</f>
        <v>0</v>
      </c>
      <c r="G33">
        <f>COUNTIFS(BD_CANDIDATOS!H:H,B33,BD_CANDIDATOS!K:K,A33,BD_CANDIDATOS!N:N,"SI")</f>
        <v>0</v>
      </c>
      <c r="H33">
        <f>COUNTIFS(BD_CANDIDATOS!H:H,B33,BD_CANDIDATOS!K:K,A33,BD_CANDIDATOS!O:O,"SI")</f>
        <v>0</v>
      </c>
      <c r="I33" s="12">
        <f t="shared" si="0"/>
        <v>0</v>
      </c>
    </row>
    <row r="34" spans="3:9">
      <c r="C34" t="str">
        <f ca="1">IFERROR(_xludf.XLOOKUP(B34,BD_VACANTES!A:A,BD_VACANTES!C:C,""),"")</f>
        <v/>
      </c>
      <c r="D34" t="str">
        <f ca="1">IFERROR(_xludf.XLOOKUP(B34,BD_VACANTES!A:A,BD_VACANTES!E:E,""),"")</f>
        <v/>
      </c>
      <c r="E34" s="4"/>
      <c r="F34">
        <f>COUNTIFS(BD_CANDIDATOS!H:H,B34,BD_CANDIDATOS!K:K,A34)</f>
        <v>0</v>
      </c>
      <c r="G34">
        <f>COUNTIFS(BD_CANDIDATOS!H:H,B34,BD_CANDIDATOS!K:K,A34,BD_CANDIDATOS!N:N,"SI")</f>
        <v>0</v>
      </c>
      <c r="H34">
        <f>COUNTIFS(BD_CANDIDATOS!H:H,B34,BD_CANDIDATOS!K:K,A34,BD_CANDIDATOS!O:O,"SI")</f>
        <v>0</v>
      </c>
      <c r="I34" s="12">
        <f t="shared" ref="I34:I65" si="1">IFERROR(H34/F34,0)</f>
        <v>0</v>
      </c>
    </row>
    <row r="35" spans="3:9">
      <c r="C35" t="str">
        <f ca="1">IFERROR(_xludf.XLOOKUP(B35,BD_VACANTES!A:A,BD_VACANTES!C:C,""),"")</f>
        <v/>
      </c>
      <c r="D35" t="str">
        <f ca="1">IFERROR(_xludf.XLOOKUP(B35,BD_VACANTES!A:A,BD_VACANTES!E:E,""),"")</f>
        <v/>
      </c>
      <c r="E35" s="4"/>
      <c r="F35">
        <f>COUNTIFS(BD_CANDIDATOS!H:H,B35,BD_CANDIDATOS!K:K,A35)</f>
        <v>0</v>
      </c>
      <c r="G35">
        <f>COUNTIFS(BD_CANDIDATOS!H:H,B35,BD_CANDIDATOS!K:K,A35,BD_CANDIDATOS!N:N,"SI")</f>
        <v>0</v>
      </c>
      <c r="H35">
        <f>COUNTIFS(BD_CANDIDATOS!H:H,B35,BD_CANDIDATOS!K:K,A35,BD_CANDIDATOS!O:O,"SI")</f>
        <v>0</v>
      </c>
      <c r="I35" s="12">
        <f t="shared" si="1"/>
        <v>0</v>
      </c>
    </row>
    <row r="36" spans="3:9">
      <c r="C36" t="str">
        <f ca="1">IFERROR(_xludf.XLOOKUP(B36,BD_VACANTES!A:A,BD_VACANTES!C:C,""),"")</f>
        <v/>
      </c>
      <c r="D36" t="str">
        <f ca="1">IFERROR(_xludf.XLOOKUP(B36,BD_VACANTES!A:A,BD_VACANTES!E:E,""),"")</f>
        <v/>
      </c>
      <c r="E36" s="4"/>
      <c r="F36">
        <f>COUNTIFS(BD_CANDIDATOS!H:H,B36,BD_CANDIDATOS!K:K,A36)</f>
        <v>0</v>
      </c>
      <c r="G36">
        <f>COUNTIFS(BD_CANDIDATOS!H:H,B36,BD_CANDIDATOS!K:K,A36,BD_CANDIDATOS!N:N,"SI")</f>
        <v>0</v>
      </c>
      <c r="H36">
        <f>COUNTIFS(BD_CANDIDATOS!H:H,B36,BD_CANDIDATOS!K:K,A36,BD_CANDIDATOS!O:O,"SI")</f>
        <v>0</v>
      </c>
      <c r="I36" s="12">
        <f t="shared" si="1"/>
        <v>0</v>
      </c>
    </row>
    <row r="37" spans="3:9">
      <c r="C37" t="str">
        <f ca="1">IFERROR(_xludf.XLOOKUP(B37,BD_VACANTES!A:A,BD_VACANTES!C:C,""),"")</f>
        <v/>
      </c>
      <c r="D37" t="str">
        <f ca="1">IFERROR(_xludf.XLOOKUP(B37,BD_VACANTES!A:A,BD_VACANTES!E:E,""),"")</f>
        <v/>
      </c>
      <c r="E37" s="4"/>
      <c r="F37">
        <f>COUNTIFS(BD_CANDIDATOS!H:H,B37,BD_CANDIDATOS!K:K,A37)</f>
        <v>0</v>
      </c>
      <c r="G37">
        <f>COUNTIFS(BD_CANDIDATOS!H:H,B37,BD_CANDIDATOS!K:K,A37,BD_CANDIDATOS!N:N,"SI")</f>
        <v>0</v>
      </c>
      <c r="H37">
        <f>COUNTIFS(BD_CANDIDATOS!H:H,B37,BD_CANDIDATOS!K:K,A37,BD_CANDIDATOS!O:O,"SI")</f>
        <v>0</v>
      </c>
      <c r="I37" s="12">
        <f t="shared" si="1"/>
        <v>0</v>
      </c>
    </row>
    <row r="38" spans="3:9">
      <c r="C38" t="str">
        <f ca="1">IFERROR(_xludf.XLOOKUP(B38,BD_VACANTES!A:A,BD_VACANTES!C:C,""),"")</f>
        <v/>
      </c>
      <c r="D38" t="str">
        <f ca="1">IFERROR(_xludf.XLOOKUP(B38,BD_VACANTES!A:A,BD_VACANTES!E:E,""),"")</f>
        <v/>
      </c>
      <c r="E38" s="4"/>
      <c r="F38">
        <f>COUNTIFS(BD_CANDIDATOS!H:H,B38,BD_CANDIDATOS!K:K,A38)</f>
        <v>0</v>
      </c>
      <c r="G38">
        <f>COUNTIFS(BD_CANDIDATOS!H:H,B38,BD_CANDIDATOS!K:K,A38,BD_CANDIDATOS!N:N,"SI")</f>
        <v>0</v>
      </c>
      <c r="H38">
        <f>COUNTIFS(BD_CANDIDATOS!H:H,B38,BD_CANDIDATOS!K:K,A38,BD_CANDIDATOS!O:O,"SI")</f>
        <v>0</v>
      </c>
      <c r="I38" s="12">
        <f t="shared" si="1"/>
        <v>0</v>
      </c>
    </row>
    <row r="39" spans="3:9">
      <c r="C39" t="str">
        <f ca="1">IFERROR(_xludf.XLOOKUP(B39,BD_VACANTES!A:A,BD_VACANTES!C:C,""),"")</f>
        <v/>
      </c>
      <c r="D39" t="str">
        <f ca="1">IFERROR(_xludf.XLOOKUP(B39,BD_VACANTES!A:A,BD_VACANTES!E:E,""),"")</f>
        <v/>
      </c>
      <c r="E39" s="4"/>
      <c r="F39">
        <f>COUNTIFS(BD_CANDIDATOS!H:H,B39,BD_CANDIDATOS!K:K,A39)</f>
        <v>0</v>
      </c>
      <c r="G39">
        <f>COUNTIFS(BD_CANDIDATOS!H:H,B39,BD_CANDIDATOS!K:K,A39,BD_CANDIDATOS!N:N,"SI")</f>
        <v>0</v>
      </c>
      <c r="H39">
        <f>COUNTIFS(BD_CANDIDATOS!H:H,B39,BD_CANDIDATOS!K:K,A39,BD_CANDIDATOS!O:O,"SI")</f>
        <v>0</v>
      </c>
      <c r="I39" s="12">
        <f t="shared" si="1"/>
        <v>0</v>
      </c>
    </row>
    <row r="40" spans="3:9">
      <c r="C40" t="str">
        <f ca="1">IFERROR(_xludf.XLOOKUP(B40,BD_VACANTES!A:A,BD_VACANTES!C:C,""),"")</f>
        <v/>
      </c>
      <c r="D40" t="str">
        <f ca="1">IFERROR(_xludf.XLOOKUP(B40,BD_VACANTES!A:A,BD_VACANTES!E:E,""),"")</f>
        <v/>
      </c>
      <c r="E40" s="4"/>
      <c r="F40">
        <f>COUNTIFS(BD_CANDIDATOS!H:H,B40,BD_CANDIDATOS!K:K,A40)</f>
        <v>0</v>
      </c>
      <c r="G40">
        <f>COUNTIFS(BD_CANDIDATOS!H:H,B40,BD_CANDIDATOS!K:K,A40,BD_CANDIDATOS!N:N,"SI")</f>
        <v>0</v>
      </c>
      <c r="H40">
        <f>COUNTIFS(BD_CANDIDATOS!H:H,B40,BD_CANDIDATOS!K:K,A40,BD_CANDIDATOS!O:O,"SI")</f>
        <v>0</v>
      </c>
      <c r="I40" s="12">
        <f t="shared" si="1"/>
        <v>0</v>
      </c>
    </row>
    <row r="41" spans="3:9">
      <c r="C41" t="str">
        <f ca="1">IFERROR(_xludf.XLOOKUP(B41,BD_VACANTES!A:A,BD_VACANTES!C:C,""),"")</f>
        <v/>
      </c>
      <c r="D41" t="str">
        <f ca="1">IFERROR(_xludf.XLOOKUP(B41,BD_VACANTES!A:A,BD_VACANTES!E:E,""),"")</f>
        <v/>
      </c>
      <c r="E41" s="4"/>
      <c r="F41">
        <f>COUNTIFS(BD_CANDIDATOS!H:H,B41,BD_CANDIDATOS!K:K,A41)</f>
        <v>0</v>
      </c>
      <c r="G41">
        <f>COUNTIFS(BD_CANDIDATOS!H:H,B41,BD_CANDIDATOS!K:K,A41,BD_CANDIDATOS!N:N,"SI")</f>
        <v>0</v>
      </c>
      <c r="H41">
        <f>COUNTIFS(BD_CANDIDATOS!H:H,B41,BD_CANDIDATOS!K:K,A41,BD_CANDIDATOS!O:O,"SI")</f>
        <v>0</v>
      </c>
      <c r="I41" s="12">
        <f t="shared" si="1"/>
        <v>0</v>
      </c>
    </row>
    <row r="42" spans="3:9">
      <c r="C42" t="str">
        <f ca="1">IFERROR(_xludf.XLOOKUP(B42,BD_VACANTES!A:A,BD_VACANTES!C:C,""),"")</f>
        <v/>
      </c>
      <c r="D42" t="str">
        <f ca="1">IFERROR(_xludf.XLOOKUP(B42,BD_VACANTES!A:A,BD_VACANTES!E:E,""),"")</f>
        <v/>
      </c>
      <c r="E42" s="4"/>
      <c r="F42">
        <f>COUNTIFS(BD_CANDIDATOS!H:H,B42,BD_CANDIDATOS!K:K,A42)</f>
        <v>0</v>
      </c>
      <c r="G42">
        <f>COUNTIFS(BD_CANDIDATOS!H:H,B42,BD_CANDIDATOS!K:K,A42,BD_CANDIDATOS!N:N,"SI")</f>
        <v>0</v>
      </c>
      <c r="H42">
        <f>COUNTIFS(BD_CANDIDATOS!H:H,B42,BD_CANDIDATOS!K:K,A42,BD_CANDIDATOS!O:O,"SI")</f>
        <v>0</v>
      </c>
      <c r="I42" s="12">
        <f t="shared" si="1"/>
        <v>0</v>
      </c>
    </row>
    <row r="43" spans="3:9">
      <c r="C43" t="str">
        <f ca="1">IFERROR(_xludf.XLOOKUP(B43,BD_VACANTES!A:A,BD_VACANTES!C:C,""),"")</f>
        <v/>
      </c>
      <c r="D43" t="str">
        <f ca="1">IFERROR(_xludf.XLOOKUP(B43,BD_VACANTES!A:A,BD_VACANTES!E:E,""),"")</f>
        <v/>
      </c>
      <c r="E43" s="4"/>
      <c r="F43">
        <f>COUNTIFS(BD_CANDIDATOS!H:H,B43,BD_CANDIDATOS!K:K,A43)</f>
        <v>0</v>
      </c>
      <c r="G43">
        <f>COUNTIFS(BD_CANDIDATOS!H:H,B43,BD_CANDIDATOS!K:K,A43,BD_CANDIDATOS!N:N,"SI")</f>
        <v>0</v>
      </c>
      <c r="H43">
        <f>COUNTIFS(BD_CANDIDATOS!H:H,B43,BD_CANDIDATOS!K:K,A43,BD_CANDIDATOS!O:O,"SI")</f>
        <v>0</v>
      </c>
      <c r="I43" s="12">
        <f t="shared" si="1"/>
        <v>0</v>
      </c>
    </row>
    <row r="44" spans="3:9">
      <c r="C44" t="str">
        <f ca="1">IFERROR(_xludf.XLOOKUP(B44,BD_VACANTES!A:A,BD_VACANTES!C:C,""),"")</f>
        <v/>
      </c>
      <c r="D44" t="str">
        <f ca="1">IFERROR(_xludf.XLOOKUP(B44,BD_VACANTES!A:A,BD_VACANTES!E:E,""),"")</f>
        <v/>
      </c>
      <c r="E44" s="4"/>
      <c r="F44">
        <f>COUNTIFS(BD_CANDIDATOS!H:H,B44,BD_CANDIDATOS!K:K,A44)</f>
        <v>0</v>
      </c>
      <c r="G44">
        <f>COUNTIFS(BD_CANDIDATOS!H:H,B44,BD_CANDIDATOS!K:K,A44,BD_CANDIDATOS!N:N,"SI")</f>
        <v>0</v>
      </c>
      <c r="H44">
        <f>COUNTIFS(BD_CANDIDATOS!H:H,B44,BD_CANDIDATOS!K:K,A44,BD_CANDIDATOS!O:O,"SI")</f>
        <v>0</v>
      </c>
      <c r="I44" s="12">
        <f t="shared" si="1"/>
        <v>0</v>
      </c>
    </row>
    <row r="45" spans="3:9">
      <c r="C45" t="str">
        <f ca="1">IFERROR(_xludf.XLOOKUP(B45,BD_VACANTES!A:A,BD_VACANTES!C:C,""),"")</f>
        <v/>
      </c>
      <c r="D45" t="str">
        <f ca="1">IFERROR(_xludf.XLOOKUP(B45,BD_VACANTES!A:A,BD_VACANTES!E:E,""),"")</f>
        <v/>
      </c>
      <c r="E45" s="4"/>
      <c r="F45">
        <f>COUNTIFS(BD_CANDIDATOS!H:H,B45,BD_CANDIDATOS!K:K,A45)</f>
        <v>0</v>
      </c>
      <c r="G45">
        <f>COUNTIFS(BD_CANDIDATOS!H:H,B45,BD_CANDIDATOS!K:K,A45,BD_CANDIDATOS!N:N,"SI")</f>
        <v>0</v>
      </c>
      <c r="H45">
        <f>COUNTIFS(BD_CANDIDATOS!H:H,B45,BD_CANDIDATOS!K:K,A45,BD_CANDIDATOS!O:O,"SI")</f>
        <v>0</v>
      </c>
      <c r="I45" s="12">
        <f t="shared" si="1"/>
        <v>0</v>
      </c>
    </row>
    <row r="46" spans="3:9">
      <c r="C46" t="str">
        <f ca="1">IFERROR(_xludf.XLOOKUP(B46,BD_VACANTES!A:A,BD_VACANTES!C:C,""),"")</f>
        <v/>
      </c>
      <c r="D46" t="str">
        <f ca="1">IFERROR(_xludf.XLOOKUP(B46,BD_VACANTES!A:A,BD_VACANTES!E:E,""),"")</f>
        <v/>
      </c>
      <c r="E46" s="4"/>
      <c r="F46">
        <f>COUNTIFS(BD_CANDIDATOS!H:H,B46,BD_CANDIDATOS!K:K,A46)</f>
        <v>0</v>
      </c>
      <c r="G46">
        <f>COUNTIFS(BD_CANDIDATOS!H:H,B46,BD_CANDIDATOS!K:K,A46,BD_CANDIDATOS!N:N,"SI")</f>
        <v>0</v>
      </c>
      <c r="H46">
        <f>COUNTIFS(BD_CANDIDATOS!H:H,B46,BD_CANDIDATOS!K:K,A46,BD_CANDIDATOS!O:O,"SI")</f>
        <v>0</v>
      </c>
      <c r="I46" s="12">
        <f t="shared" si="1"/>
        <v>0</v>
      </c>
    </row>
    <row r="47" spans="3:9">
      <c r="C47" t="str">
        <f ca="1">IFERROR(_xludf.XLOOKUP(B47,BD_VACANTES!A:A,BD_VACANTES!C:C,""),"")</f>
        <v/>
      </c>
      <c r="D47" t="str">
        <f ca="1">IFERROR(_xludf.XLOOKUP(B47,BD_VACANTES!A:A,BD_VACANTES!E:E,""),"")</f>
        <v/>
      </c>
      <c r="E47" s="4"/>
      <c r="F47">
        <f>COUNTIFS(BD_CANDIDATOS!H:H,B47,BD_CANDIDATOS!K:K,A47)</f>
        <v>0</v>
      </c>
      <c r="G47">
        <f>COUNTIFS(BD_CANDIDATOS!H:H,B47,BD_CANDIDATOS!K:K,A47,BD_CANDIDATOS!N:N,"SI")</f>
        <v>0</v>
      </c>
      <c r="H47">
        <f>COUNTIFS(BD_CANDIDATOS!H:H,B47,BD_CANDIDATOS!K:K,A47,BD_CANDIDATOS!O:O,"SI")</f>
        <v>0</v>
      </c>
      <c r="I47" s="12">
        <f t="shared" si="1"/>
        <v>0</v>
      </c>
    </row>
    <row r="48" spans="3:9">
      <c r="C48" t="str">
        <f ca="1">IFERROR(_xludf.XLOOKUP(B48,BD_VACANTES!A:A,BD_VACANTES!C:C,""),"")</f>
        <v/>
      </c>
      <c r="D48" t="str">
        <f ca="1">IFERROR(_xludf.XLOOKUP(B48,BD_VACANTES!A:A,BD_VACANTES!E:E,""),"")</f>
        <v/>
      </c>
      <c r="E48" s="4"/>
      <c r="F48">
        <f>COUNTIFS(BD_CANDIDATOS!H:H,B48,BD_CANDIDATOS!K:K,A48)</f>
        <v>0</v>
      </c>
      <c r="G48">
        <f>COUNTIFS(BD_CANDIDATOS!H:H,B48,BD_CANDIDATOS!K:K,A48,BD_CANDIDATOS!N:N,"SI")</f>
        <v>0</v>
      </c>
      <c r="H48">
        <f>COUNTIFS(BD_CANDIDATOS!H:H,B48,BD_CANDIDATOS!K:K,A48,BD_CANDIDATOS!O:O,"SI")</f>
        <v>0</v>
      </c>
      <c r="I48" s="12">
        <f t="shared" si="1"/>
        <v>0</v>
      </c>
    </row>
    <row r="49" spans="3:9">
      <c r="C49" t="str">
        <f ca="1">IFERROR(_xludf.XLOOKUP(B49,BD_VACANTES!A:A,BD_VACANTES!C:C,""),"")</f>
        <v/>
      </c>
      <c r="D49" t="str">
        <f ca="1">IFERROR(_xludf.XLOOKUP(B49,BD_VACANTES!A:A,BD_VACANTES!E:E,""),"")</f>
        <v/>
      </c>
      <c r="E49" s="4"/>
      <c r="F49">
        <f>COUNTIFS(BD_CANDIDATOS!H:H,B49,BD_CANDIDATOS!K:K,A49)</f>
        <v>0</v>
      </c>
      <c r="G49">
        <f>COUNTIFS(BD_CANDIDATOS!H:H,B49,BD_CANDIDATOS!K:K,A49,BD_CANDIDATOS!N:N,"SI")</f>
        <v>0</v>
      </c>
      <c r="H49">
        <f>COUNTIFS(BD_CANDIDATOS!H:H,B49,BD_CANDIDATOS!K:K,A49,BD_CANDIDATOS!O:O,"SI")</f>
        <v>0</v>
      </c>
      <c r="I49" s="12">
        <f t="shared" si="1"/>
        <v>0</v>
      </c>
    </row>
    <row r="50" spans="3:9">
      <c r="C50" t="str">
        <f ca="1">IFERROR(_xludf.XLOOKUP(B50,BD_VACANTES!A:A,BD_VACANTES!C:C,""),"")</f>
        <v/>
      </c>
      <c r="D50" t="str">
        <f ca="1">IFERROR(_xludf.XLOOKUP(B50,BD_VACANTES!A:A,BD_VACANTES!E:E,""),"")</f>
        <v/>
      </c>
      <c r="E50" s="4"/>
      <c r="F50">
        <f>COUNTIFS(BD_CANDIDATOS!H:H,B50,BD_CANDIDATOS!K:K,A50)</f>
        <v>0</v>
      </c>
      <c r="G50">
        <f>COUNTIFS(BD_CANDIDATOS!H:H,B50,BD_CANDIDATOS!K:K,A50,BD_CANDIDATOS!N:N,"SI")</f>
        <v>0</v>
      </c>
      <c r="H50">
        <f>COUNTIFS(BD_CANDIDATOS!H:H,B50,BD_CANDIDATOS!K:K,A50,BD_CANDIDATOS!O:O,"SI")</f>
        <v>0</v>
      </c>
      <c r="I50" s="12">
        <f t="shared" si="1"/>
        <v>0</v>
      </c>
    </row>
    <row r="51" spans="3:9">
      <c r="C51" t="str">
        <f ca="1">IFERROR(_xludf.XLOOKUP(B51,BD_VACANTES!A:A,BD_VACANTES!C:C,""),"")</f>
        <v/>
      </c>
      <c r="D51" t="str">
        <f ca="1">IFERROR(_xludf.XLOOKUP(B51,BD_VACANTES!A:A,BD_VACANTES!E:E,""),"")</f>
        <v/>
      </c>
      <c r="E51" s="4"/>
      <c r="F51">
        <f>COUNTIFS(BD_CANDIDATOS!H:H,B51,BD_CANDIDATOS!K:K,A51)</f>
        <v>0</v>
      </c>
      <c r="G51">
        <f>COUNTIFS(BD_CANDIDATOS!H:H,B51,BD_CANDIDATOS!K:K,A51,BD_CANDIDATOS!N:N,"SI")</f>
        <v>0</v>
      </c>
      <c r="H51">
        <f>COUNTIFS(BD_CANDIDATOS!H:H,B51,BD_CANDIDATOS!K:K,A51,BD_CANDIDATOS!O:O,"SI")</f>
        <v>0</v>
      </c>
      <c r="I51" s="12">
        <f t="shared" si="1"/>
        <v>0</v>
      </c>
    </row>
    <row r="52" spans="3:9">
      <c r="C52" t="str">
        <f ca="1">IFERROR(_xludf.XLOOKUP(B52,BD_VACANTES!A:A,BD_VACANTES!C:C,""),"")</f>
        <v/>
      </c>
      <c r="D52" t="str">
        <f ca="1">IFERROR(_xludf.XLOOKUP(B52,BD_VACANTES!A:A,BD_VACANTES!E:E,""),"")</f>
        <v/>
      </c>
      <c r="E52" s="4"/>
      <c r="F52">
        <f>COUNTIFS(BD_CANDIDATOS!H:H,B52,BD_CANDIDATOS!K:K,A52)</f>
        <v>0</v>
      </c>
      <c r="G52">
        <f>COUNTIFS(BD_CANDIDATOS!H:H,B52,BD_CANDIDATOS!K:K,A52,BD_CANDIDATOS!N:N,"SI")</f>
        <v>0</v>
      </c>
      <c r="H52">
        <f>COUNTIFS(BD_CANDIDATOS!H:H,B52,BD_CANDIDATOS!K:K,A52,BD_CANDIDATOS!O:O,"SI")</f>
        <v>0</v>
      </c>
      <c r="I52" s="12">
        <f t="shared" si="1"/>
        <v>0</v>
      </c>
    </row>
    <row r="53" spans="3:9">
      <c r="C53" t="str">
        <f ca="1">IFERROR(_xludf.XLOOKUP(B53,BD_VACANTES!A:A,BD_VACANTES!C:C,""),"")</f>
        <v/>
      </c>
      <c r="D53" t="str">
        <f ca="1">IFERROR(_xludf.XLOOKUP(B53,BD_VACANTES!A:A,BD_VACANTES!E:E,""),"")</f>
        <v/>
      </c>
      <c r="E53" s="4"/>
      <c r="F53">
        <f>COUNTIFS(BD_CANDIDATOS!H:H,B53,BD_CANDIDATOS!K:K,A53)</f>
        <v>0</v>
      </c>
      <c r="G53">
        <f>COUNTIFS(BD_CANDIDATOS!H:H,B53,BD_CANDIDATOS!K:K,A53,BD_CANDIDATOS!N:N,"SI")</f>
        <v>0</v>
      </c>
      <c r="H53">
        <f>COUNTIFS(BD_CANDIDATOS!H:H,B53,BD_CANDIDATOS!K:K,A53,BD_CANDIDATOS!O:O,"SI")</f>
        <v>0</v>
      </c>
      <c r="I53" s="12">
        <f t="shared" si="1"/>
        <v>0</v>
      </c>
    </row>
    <row r="54" spans="3:9">
      <c r="C54" t="str">
        <f ca="1">IFERROR(_xludf.XLOOKUP(B54,BD_VACANTES!A:A,BD_VACANTES!C:C,""),"")</f>
        <v/>
      </c>
      <c r="D54" t="str">
        <f ca="1">IFERROR(_xludf.XLOOKUP(B54,BD_VACANTES!A:A,BD_VACANTES!E:E,""),"")</f>
        <v/>
      </c>
      <c r="E54" s="4"/>
      <c r="F54">
        <f>COUNTIFS(BD_CANDIDATOS!H:H,B54,BD_CANDIDATOS!K:K,A54)</f>
        <v>0</v>
      </c>
      <c r="G54">
        <f>COUNTIFS(BD_CANDIDATOS!H:H,B54,BD_CANDIDATOS!K:K,A54,BD_CANDIDATOS!N:N,"SI")</f>
        <v>0</v>
      </c>
      <c r="H54">
        <f>COUNTIFS(BD_CANDIDATOS!H:H,B54,BD_CANDIDATOS!K:K,A54,BD_CANDIDATOS!O:O,"SI")</f>
        <v>0</v>
      </c>
      <c r="I54" s="12">
        <f t="shared" si="1"/>
        <v>0</v>
      </c>
    </row>
    <row r="55" spans="3:9">
      <c r="C55" t="str">
        <f ca="1">IFERROR(_xludf.XLOOKUP(B55,BD_VACANTES!A:A,BD_VACANTES!C:C,""),"")</f>
        <v/>
      </c>
      <c r="D55" t="str">
        <f ca="1">IFERROR(_xludf.XLOOKUP(B55,BD_VACANTES!A:A,BD_VACANTES!E:E,""),"")</f>
        <v/>
      </c>
      <c r="E55" s="4"/>
      <c r="F55">
        <f>COUNTIFS(BD_CANDIDATOS!H:H,B55,BD_CANDIDATOS!K:K,A55)</f>
        <v>0</v>
      </c>
      <c r="G55">
        <f>COUNTIFS(BD_CANDIDATOS!H:H,B55,BD_CANDIDATOS!K:K,A55,BD_CANDIDATOS!N:N,"SI")</f>
        <v>0</v>
      </c>
      <c r="H55">
        <f>COUNTIFS(BD_CANDIDATOS!H:H,B55,BD_CANDIDATOS!K:K,A55,BD_CANDIDATOS!O:O,"SI")</f>
        <v>0</v>
      </c>
      <c r="I55" s="12">
        <f t="shared" si="1"/>
        <v>0</v>
      </c>
    </row>
    <row r="56" spans="3:9">
      <c r="C56" t="str">
        <f ca="1">IFERROR(_xludf.XLOOKUP(B56,BD_VACANTES!A:A,BD_VACANTES!C:C,""),"")</f>
        <v/>
      </c>
      <c r="D56" t="str">
        <f ca="1">IFERROR(_xludf.XLOOKUP(B56,BD_VACANTES!A:A,BD_VACANTES!E:E,""),"")</f>
        <v/>
      </c>
      <c r="E56" s="4"/>
      <c r="F56">
        <f>COUNTIFS(BD_CANDIDATOS!H:H,B56,BD_CANDIDATOS!K:K,A56)</f>
        <v>0</v>
      </c>
      <c r="G56">
        <f>COUNTIFS(BD_CANDIDATOS!H:H,B56,BD_CANDIDATOS!K:K,A56,BD_CANDIDATOS!N:N,"SI")</f>
        <v>0</v>
      </c>
      <c r="H56">
        <f>COUNTIFS(BD_CANDIDATOS!H:H,B56,BD_CANDIDATOS!K:K,A56,BD_CANDIDATOS!O:O,"SI")</f>
        <v>0</v>
      </c>
      <c r="I56" s="12">
        <f t="shared" si="1"/>
        <v>0</v>
      </c>
    </row>
    <row r="57" spans="3:9">
      <c r="C57" t="str">
        <f ca="1">IFERROR(_xludf.XLOOKUP(B57,BD_VACANTES!A:A,BD_VACANTES!C:C,""),"")</f>
        <v/>
      </c>
      <c r="D57" t="str">
        <f ca="1">IFERROR(_xludf.XLOOKUP(B57,BD_VACANTES!A:A,BD_VACANTES!E:E,""),"")</f>
        <v/>
      </c>
      <c r="E57" s="4"/>
      <c r="F57">
        <f>COUNTIFS(BD_CANDIDATOS!H:H,B57,BD_CANDIDATOS!K:K,A57)</f>
        <v>0</v>
      </c>
      <c r="G57">
        <f>COUNTIFS(BD_CANDIDATOS!H:H,B57,BD_CANDIDATOS!K:K,A57,BD_CANDIDATOS!N:N,"SI")</f>
        <v>0</v>
      </c>
      <c r="H57">
        <f>COUNTIFS(BD_CANDIDATOS!H:H,B57,BD_CANDIDATOS!K:K,A57,BD_CANDIDATOS!O:O,"SI")</f>
        <v>0</v>
      </c>
      <c r="I57" s="12">
        <f t="shared" si="1"/>
        <v>0</v>
      </c>
    </row>
    <row r="58" spans="3:9">
      <c r="C58" t="str">
        <f ca="1">IFERROR(_xludf.XLOOKUP(B58,BD_VACANTES!A:A,BD_VACANTES!C:C,""),"")</f>
        <v/>
      </c>
      <c r="D58" t="str">
        <f ca="1">IFERROR(_xludf.XLOOKUP(B58,BD_VACANTES!A:A,BD_VACANTES!E:E,""),"")</f>
        <v/>
      </c>
      <c r="E58" s="4"/>
      <c r="F58">
        <f>COUNTIFS(BD_CANDIDATOS!H:H,B58,BD_CANDIDATOS!K:K,A58)</f>
        <v>0</v>
      </c>
      <c r="G58">
        <f>COUNTIFS(BD_CANDIDATOS!H:H,B58,BD_CANDIDATOS!K:K,A58,BD_CANDIDATOS!N:N,"SI")</f>
        <v>0</v>
      </c>
      <c r="H58">
        <f>COUNTIFS(BD_CANDIDATOS!H:H,B58,BD_CANDIDATOS!K:K,A58,BD_CANDIDATOS!O:O,"SI")</f>
        <v>0</v>
      </c>
      <c r="I58" s="12">
        <f t="shared" si="1"/>
        <v>0</v>
      </c>
    </row>
    <row r="59" spans="3:9">
      <c r="C59" t="str">
        <f ca="1">IFERROR(_xludf.XLOOKUP(B59,BD_VACANTES!A:A,BD_VACANTES!C:C,""),"")</f>
        <v/>
      </c>
      <c r="D59" t="str">
        <f ca="1">IFERROR(_xludf.XLOOKUP(B59,BD_VACANTES!A:A,BD_VACANTES!E:E,""),"")</f>
        <v/>
      </c>
      <c r="E59" s="4"/>
      <c r="F59">
        <f>COUNTIFS(BD_CANDIDATOS!H:H,B59,BD_CANDIDATOS!K:K,A59)</f>
        <v>0</v>
      </c>
      <c r="G59">
        <f>COUNTIFS(BD_CANDIDATOS!H:H,B59,BD_CANDIDATOS!K:K,A59,BD_CANDIDATOS!N:N,"SI")</f>
        <v>0</v>
      </c>
      <c r="H59">
        <f>COUNTIFS(BD_CANDIDATOS!H:H,B59,BD_CANDIDATOS!K:K,A59,BD_CANDIDATOS!O:O,"SI")</f>
        <v>0</v>
      </c>
      <c r="I59" s="12">
        <f t="shared" si="1"/>
        <v>0</v>
      </c>
    </row>
    <row r="60" spans="3:9">
      <c r="C60" t="str">
        <f ca="1">IFERROR(_xludf.XLOOKUP(B60,BD_VACANTES!A:A,BD_VACANTES!C:C,""),"")</f>
        <v/>
      </c>
      <c r="D60" t="str">
        <f ca="1">IFERROR(_xludf.XLOOKUP(B60,BD_VACANTES!A:A,BD_VACANTES!E:E,""),"")</f>
        <v/>
      </c>
      <c r="E60" s="4"/>
      <c r="F60">
        <f>COUNTIFS(BD_CANDIDATOS!H:H,B60,BD_CANDIDATOS!K:K,A60)</f>
        <v>0</v>
      </c>
      <c r="G60">
        <f>COUNTIFS(BD_CANDIDATOS!H:H,B60,BD_CANDIDATOS!K:K,A60,BD_CANDIDATOS!N:N,"SI")</f>
        <v>0</v>
      </c>
      <c r="H60">
        <f>COUNTIFS(BD_CANDIDATOS!H:H,B60,BD_CANDIDATOS!K:K,A60,BD_CANDIDATOS!O:O,"SI")</f>
        <v>0</v>
      </c>
      <c r="I60" s="12">
        <f t="shared" si="1"/>
        <v>0</v>
      </c>
    </row>
    <row r="61" spans="3:9">
      <c r="C61" t="str">
        <f ca="1">IFERROR(_xludf.XLOOKUP(B61,BD_VACANTES!A:A,BD_VACANTES!C:C,""),"")</f>
        <v/>
      </c>
      <c r="D61" t="str">
        <f ca="1">IFERROR(_xludf.XLOOKUP(B61,BD_VACANTES!A:A,BD_VACANTES!E:E,""),"")</f>
        <v/>
      </c>
      <c r="E61" s="4"/>
      <c r="F61">
        <f>COUNTIFS(BD_CANDIDATOS!H:H,B61,BD_CANDIDATOS!K:K,A61)</f>
        <v>0</v>
      </c>
      <c r="G61">
        <f>COUNTIFS(BD_CANDIDATOS!H:H,B61,BD_CANDIDATOS!K:K,A61,BD_CANDIDATOS!N:N,"SI")</f>
        <v>0</v>
      </c>
      <c r="H61">
        <f>COUNTIFS(BD_CANDIDATOS!H:H,B61,BD_CANDIDATOS!K:K,A61,BD_CANDIDATOS!O:O,"SI")</f>
        <v>0</v>
      </c>
      <c r="I61" s="12">
        <f t="shared" si="1"/>
        <v>0</v>
      </c>
    </row>
    <row r="62" spans="3:9">
      <c r="C62" t="str">
        <f ca="1">IFERROR(_xludf.XLOOKUP(B62,BD_VACANTES!A:A,BD_VACANTES!C:C,""),"")</f>
        <v/>
      </c>
      <c r="D62" t="str">
        <f ca="1">IFERROR(_xludf.XLOOKUP(B62,BD_VACANTES!A:A,BD_VACANTES!E:E,""),"")</f>
        <v/>
      </c>
      <c r="E62" s="4"/>
      <c r="F62">
        <f>COUNTIFS(BD_CANDIDATOS!H:H,B62,BD_CANDIDATOS!K:K,A62)</f>
        <v>0</v>
      </c>
      <c r="G62">
        <f>COUNTIFS(BD_CANDIDATOS!H:H,B62,BD_CANDIDATOS!K:K,A62,BD_CANDIDATOS!N:N,"SI")</f>
        <v>0</v>
      </c>
      <c r="H62">
        <f>COUNTIFS(BD_CANDIDATOS!H:H,B62,BD_CANDIDATOS!K:K,A62,BD_CANDIDATOS!O:O,"SI")</f>
        <v>0</v>
      </c>
      <c r="I62" s="12">
        <f t="shared" si="1"/>
        <v>0</v>
      </c>
    </row>
    <row r="63" spans="3:9">
      <c r="C63" t="str">
        <f ca="1">IFERROR(_xludf.XLOOKUP(B63,BD_VACANTES!A:A,BD_VACANTES!C:C,""),"")</f>
        <v/>
      </c>
      <c r="D63" t="str">
        <f ca="1">IFERROR(_xludf.XLOOKUP(B63,BD_VACANTES!A:A,BD_VACANTES!E:E,""),"")</f>
        <v/>
      </c>
      <c r="E63" s="4"/>
      <c r="F63">
        <f>COUNTIFS(BD_CANDIDATOS!H:H,B63,BD_CANDIDATOS!K:K,A63)</f>
        <v>0</v>
      </c>
      <c r="G63">
        <f>COUNTIFS(BD_CANDIDATOS!H:H,B63,BD_CANDIDATOS!K:K,A63,BD_CANDIDATOS!N:N,"SI")</f>
        <v>0</v>
      </c>
      <c r="H63">
        <f>COUNTIFS(BD_CANDIDATOS!H:H,B63,BD_CANDIDATOS!K:K,A63,BD_CANDIDATOS!O:O,"SI")</f>
        <v>0</v>
      </c>
      <c r="I63" s="12">
        <f t="shared" si="1"/>
        <v>0</v>
      </c>
    </row>
    <row r="64" spans="3:9">
      <c r="C64" t="str">
        <f ca="1">IFERROR(_xludf.XLOOKUP(B64,BD_VACANTES!A:A,BD_VACANTES!C:C,""),"")</f>
        <v/>
      </c>
      <c r="D64" t="str">
        <f ca="1">IFERROR(_xludf.XLOOKUP(B64,BD_VACANTES!A:A,BD_VACANTES!E:E,""),"")</f>
        <v/>
      </c>
      <c r="E64" s="4"/>
      <c r="F64">
        <f>COUNTIFS(BD_CANDIDATOS!H:H,B64,BD_CANDIDATOS!K:K,A64)</f>
        <v>0</v>
      </c>
      <c r="G64">
        <f>COUNTIFS(BD_CANDIDATOS!H:H,B64,BD_CANDIDATOS!K:K,A64,BD_CANDIDATOS!N:N,"SI")</f>
        <v>0</v>
      </c>
      <c r="H64">
        <f>COUNTIFS(BD_CANDIDATOS!H:H,B64,BD_CANDIDATOS!K:K,A64,BD_CANDIDATOS!O:O,"SI")</f>
        <v>0</v>
      </c>
      <c r="I64" s="12">
        <f t="shared" si="1"/>
        <v>0</v>
      </c>
    </row>
    <row r="65" spans="3:9">
      <c r="C65" t="str">
        <f ca="1">IFERROR(_xludf.XLOOKUP(B65,BD_VACANTES!A:A,BD_VACANTES!C:C,""),"")</f>
        <v/>
      </c>
      <c r="D65" t="str">
        <f ca="1">IFERROR(_xludf.XLOOKUP(B65,BD_VACANTES!A:A,BD_VACANTES!E:E,""),"")</f>
        <v/>
      </c>
      <c r="E65" s="4"/>
      <c r="F65">
        <f>COUNTIFS(BD_CANDIDATOS!H:H,B65,BD_CANDIDATOS!K:K,A65)</f>
        <v>0</v>
      </c>
      <c r="G65">
        <f>COUNTIFS(BD_CANDIDATOS!H:H,B65,BD_CANDIDATOS!K:K,A65,BD_CANDIDATOS!N:N,"SI")</f>
        <v>0</v>
      </c>
      <c r="H65">
        <f>COUNTIFS(BD_CANDIDATOS!H:H,B65,BD_CANDIDATOS!K:K,A65,BD_CANDIDATOS!O:O,"SI")</f>
        <v>0</v>
      </c>
      <c r="I65" s="12">
        <f t="shared" si="1"/>
        <v>0</v>
      </c>
    </row>
    <row r="66" spans="3:9">
      <c r="C66" t="str">
        <f ca="1">IFERROR(_xludf.XLOOKUP(B66,BD_VACANTES!A:A,BD_VACANTES!C:C,""),"")</f>
        <v/>
      </c>
      <c r="D66" t="str">
        <f ca="1">IFERROR(_xludf.XLOOKUP(B66,BD_VACANTES!A:A,BD_VACANTES!E:E,""),"")</f>
        <v/>
      </c>
      <c r="E66" s="4"/>
      <c r="F66">
        <f>COUNTIFS(BD_CANDIDATOS!H:H,B66,BD_CANDIDATOS!K:K,A66)</f>
        <v>0</v>
      </c>
      <c r="G66">
        <f>COUNTIFS(BD_CANDIDATOS!H:H,B66,BD_CANDIDATOS!K:K,A66,BD_CANDIDATOS!N:N,"SI")</f>
        <v>0</v>
      </c>
      <c r="H66">
        <f>COUNTIFS(BD_CANDIDATOS!H:H,B66,BD_CANDIDATOS!K:K,A66,BD_CANDIDATOS!O:O,"SI")</f>
        <v>0</v>
      </c>
      <c r="I66" s="12">
        <f t="shared" ref="I66:I97" si="2">IFERROR(H66/F66,0)</f>
        <v>0</v>
      </c>
    </row>
    <row r="67" spans="3:9">
      <c r="C67" t="str">
        <f ca="1">IFERROR(_xludf.XLOOKUP(B67,BD_VACANTES!A:A,BD_VACANTES!C:C,""),"")</f>
        <v/>
      </c>
      <c r="D67" t="str">
        <f ca="1">IFERROR(_xludf.XLOOKUP(B67,BD_VACANTES!A:A,BD_VACANTES!E:E,""),"")</f>
        <v/>
      </c>
      <c r="E67" s="4"/>
      <c r="F67">
        <f>COUNTIFS(BD_CANDIDATOS!H:H,B67,BD_CANDIDATOS!K:K,A67)</f>
        <v>0</v>
      </c>
      <c r="G67">
        <f>COUNTIFS(BD_CANDIDATOS!H:H,B67,BD_CANDIDATOS!K:K,A67,BD_CANDIDATOS!N:N,"SI")</f>
        <v>0</v>
      </c>
      <c r="H67">
        <f>COUNTIFS(BD_CANDIDATOS!H:H,B67,BD_CANDIDATOS!K:K,A67,BD_CANDIDATOS!O:O,"SI")</f>
        <v>0</v>
      </c>
      <c r="I67" s="12">
        <f t="shared" si="2"/>
        <v>0</v>
      </c>
    </row>
    <row r="68" spans="3:9">
      <c r="C68" t="str">
        <f ca="1">IFERROR(_xludf.XLOOKUP(B68,BD_VACANTES!A:A,BD_VACANTES!C:C,""),"")</f>
        <v/>
      </c>
      <c r="D68" t="str">
        <f ca="1">IFERROR(_xludf.XLOOKUP(B68,BD_VACANTES!A:A,BD_VACANTES!E:E,""),"")</f>
        <v/>
      </c>
      <c r="E68" s="4"/>
      <c r="F68">
        <f>COUNTIFS(BD_CANDIDATOS!H:H,B68,BD_CANDIDATOS!K:K,A68)</f>
        <v>0</v>
      </c>
      <c r="G68">
        <f>COUNTIFS(BD_CANDIDATOS!H:H,B68,BD_CANDIDATOS!K:K,A68,BD_CANDIDATOS!N:N,"SI")</f>
        <v>0</v>
      </c>
      <c r="H68">
        <f>COUNTIFS(BD_CANDIDATOS!H:H,B68,BD_CANDIDATOS!K:K,A68,BD_CANDIDATOS!O:O,"SI")</f>
        <v>0</v>
      </c>
      <c r="I68" s="12">
        <f t="shared" si="2"/>
        <v>0</v>
      </c>
    </row>
    <row r="69" spans="3:9">
      <c r="C69" t="str">
        <f ca="1">IFERROR(_xludf.XLOOKUP(B69,BD_VACANTES!A:A,BD_VACANTES!C:C,""),"")</f>
        <v/>
      </c>
      <c r="D69" t="str">
        <f ca="1">IFERROR(_xludf.XLOOKUP(B69,BD_VACANTES!A:A,BD_VACANTES!E:E,""),"")</f>
        <v/>
      </c>
      <c r="E69" s="4"/>
      <c r="F69">
        <f>COUNTIFS(BD_CANDIDATOS!H:H,B69,BD_CANDIDATOS!K:K,A69)</f>
        <v>0</v>
      </c>
      <c r="G69">
        <f>COUNTIFS(BD_CANDIDATOS!H:H,B69,BD_CANDIDATOS!K:K,A69,BD_CANDIDATOS!N:N,"SI")</f>
        <v>0</v>
      </c>
      <c r="H69">
        <f>COUNTIFS(BD_CANDIDATOS!H:H,B69,BD_CANDIDATOS!K:K,A69,BD_CANDIDATOS!O:O,"SI")</f>
        <v>0</v>
      </c>
      <c r="I69" s="12">
        <f t="shared" si="2"/>
        <v>0</v>
      </c>
    </row>
    <row r="70" spans="3:9">
      <c r="C70" t="str">
        <f ca="1">IFERROR(_xludf.XLOOKUP(B70,BD_VACANTES!A:A,BD_VACANTES!C:C,""),"")</f>
        <v/>
      </c>
      <c r="D70" t="str">
        <f ca="1">IFERROR(_xludf.XLOOKUP(B70,BD_VACANTES!A:A,BD_VACANTES!E:E,""),"")</f>
        <v/>
      </c>
      <c r="E70" s="4"/>
      <c r="F70">
        <f>COUNTIFS(BD_CANDIDATOS!H:H,B70,BD_CANDIDATOS!K:K,A70)</f>
        <v>0</v>
      </c>
      <c r="G70">
        <f>COUNTIFS(BD_CANDIDATOS!H:H,B70,BD_CANDIDATOS!K:K,A70,BD_CANDIDATOS!N:N,"SI")</f>
        <v>0</v>
      </c>
      <c r="H70">
        <f>COUNTIFS(BD_CANDIDATOS!H:H,B70,BD_CANDIDATOS!K:K,A70,BD_CANDIDATOS!O:O,"SI")</f>
        <v>0</v>
      </c>
      <c r="I70" s="12">
        <f t="shared" si="2"/>
        <v>0</v>
      </c>
    </row>
    <row r="71" spans="3:9">
      <c r="C71" t="str">
        <f ca="1">IFERROR(_xludf.XLOOKUP(B71,BD_VACANTES!A:A,BD_VACANTES!C:C,""),"")</f>
        <v/>
      </c>
      <c r="D71" t="str">
        <f ca="1">IFERROR(_xludf.XLOOKUP(B71,BD_VACANTES!A:A,BD_VACANTES!E:E,""),"")</f>
        <v/>
      </c>
      <c r="E71" s="4"/>
      <c r="F71">
        <f>COUNTIFS(BD_CANDIDATOS!H:H,B71,BD_CANDIDATOS!K:K,A71)</f>
        <v>0</v>
      </c>
      <c r="G71">
        <f>COUNTIFS(BD_CANDIDATOS!H:H,B71,BD_CANDIDATOS!K:K,A71,BD_CANDIDATOS!N:N,"SI")</f>
        <v>0</v>
      </c>
      <c r="H71">
        <f>COUNTIFS(BD_CANDIDATOS!H:H,B71,BD_CANDIDATOS!K:K,A71,BD_CANDIDATOS!O:O,"SI")</f>
        <v>0</v>
      </c>
      <c r="I71" s="12">
        <f t="shared" si="2"/>
        <v>0</v>
      </c>
    </row>
    <row r="72" spans="3:9">
      <c r="C72" t="str">
        <f ca="1">IFERROR(_xludf.XLOOKUP(B72,BD_VACANTES!A:A,BD_VACANTES!C:C,""),"")</f>
        <v/>
      </c>
      <c r="D72" t="str">
        <f ca="1">IFERROR(_xludf.XLOOKUP(B72,BD_VACANTES!A:A,BD_VACANTES!E:E,""),"")</f>
        <v/>
      </c>
      <c r="E72" s="4"/>
      <c r="F72">
        <f>COUNTIFS(BD_CANDIDATOS!H:H,B72,BD_CANDIDATOS!K:K,A72)</f>
        <v>0</v>
      </c>
      <c r="G72">
        <f>COUNTIFS(BD_CANDIDATOS!H:H,B72,BD_CANDIDATOS!K:K,A72,BD_CANDIDATOS!N:N,"SI")</f>
        <v>0</v>
      </c>
      <c r="H72">
        <f>COUNTIFS(BD_CANDIDATOS!H:H,B72,BD_CANDIDATOS!K:K,A72,BD_CANDIDATOS!O:O,"SI")</f>
        <v>0</v>
      </c>
      <c r="I72" s="12">
        <f t="shared" si="2"/>
        <v>0</v>
      </c>
    </row>
    <row r="73" spans="3:9">
      <c r="C73" t="str">
        <f ca="1">IFERROR(_xludf.XLOOKUP(B73,BD_VACANTES!A:A,BD_VACANTES!C:C,""),"")</f>
        <v/>
      </c>
      <c r="D73" t="str">
        <f ca="1">IFERROR(_xludf.XLOOKUP(B73,BD_VACANTES!A:A,BD_VACANTES!E:E,""),"")</f>
        <v/>
      </c>
      <c r="E73" s="4"/>
      <c r="F73">
        <f>COUNTIFS(BD_CANDIDATOS!H:H,B73,BD_CANDIDATOS!K:K,A73)</f>
        <v>0</v>
      </c>
      <c r="G73">
        <f>COUNTIFS(BD_CANDIDATOS!H:H,B73,BD_CANDIDATOS!K:K,A73,BD_CANDIDATOS!N:N,"SI")</f>
        <v>0</v>
      </c>
      <c r="H73">
        <f>COUNTIFS(BD_CANDIDATOS!H:H,B73,BD_CANDIDATOS!K:K,A73,BD_CANDIDATOS!O:O,"SI")</f>
        <v>0</v>
      </c>
      <c r="I73" s="12">
        <f t="shared" si="2"/>
        <v>0</v>
      </c>
    </row>
    <row r="74" spans="3:9">
      <c r="C74" t="str">
        <f ca="1">IFERROR(_xludf.XLOOKUP(B74,BD_VACANTES!A:A,BD_VACANTES!C:C,""),"")</f>
        <v/>
      </c>
      <c r="D74" t="str">
        <f ca="1">IFERROR(_xludf.XLOOKUP(B74,BD_VACANTES!A:A,BD_VACANTES!E:E,""),"")</f>
        <v/>
      </c>
      <c r="E74" s="4"/>
      <c r="F74">
        <f>COUNTIFS(BD_CANDIDATOS!H:H,B74,BD_CANDIDATOS!K:K,A74)</f>
        <v>0</v>
      </c>
      <c r="G74">
        <f>COUNTIFS(BD_CANDIDATOS!H:H,B74,BD_CANDIDATOS!K:K,A74,BD_CANDIDATOS!N:N,"SI")</f>
        <v>0</v>
      </c>
      <c r="H74">
        <f>COUNTIFS(BD_CANDIDATOS!H:H,B74,BD_CANDIDATOS!K:K,A74,BD_CANDIDATOS!O:O,"SI")</f>
        <v>0</v>
      </c>
      <c r="I74" s="12">
        <f t="shared" si="2"/>
        <v>0</v>
      </c>
    </row>
    <row r="75" spans="3:9">
      <c r="C75" t="str">
        <f ca="1">IFERROR(_xludf.XLOOKUP(B75,BD_VACANTES!A:A,BD_VACANTES!C:C,""),"")</f>
        <v/>
      </c>
      <c r="D75" t="str">
        <f ca="1">IFERROR(_xludf.XLOOKUP(B75,BD_VACANTES!A:A,BD_VACANTES!E:E,""),"")</f>
        <v/>
      </c>
      <c r="E75" s="4"/>
      <c r="F75">
        <f>COUNTIFS(BD_CANDIDATOS!H:H,B75,BD_CANDIDATOS!K:K,A75)</f>
        <v>0</v>
      </c>
      <c r="G75">
        <f>COUNTIFS(BD_CANDIDATOS!H:H,B75,BD_CANDIDATOS!K:K,A75,BD_CANDIDATOS!N:N,"SI")</f>
        <v>0</v>
      </c>
      <c r="H75">
        <f>COUNTIFS(BD_CANDIDATOS!H:H,B75,BD_CANDIDATOS!K:K,A75,BD_CANDIDATOS!O:O,"SI")</f>
        <v>0</v>
      </c>
      <c r="I75" s="12">
        <f t="shared" si="2"/>
        <v>0</v>
      </c>
    </row>
    <row r="76" spans="3:9">
      <c r="C76" t="str">
        <f ca="1">IFERROR(_xludf.XLOOKUP(B76,BD_VACANTES!A:A,BD_VACANTES!C:C,""),"")</f>
        <v/>
      </c>
      <c r="D76" t="str">
        <f ca="1">IFERROR(_xludf.XLOOKUP(B76,BD_VACANTES!A:A,BD_VACANTES!E:E,""),"")</f>
        <v/>
      </c>
      <c r="E76" s="4"/>
      <c r="F76">
        <f>COUNTIFS(BD_CANDIDATOS!H:H,B76,BD_CANDIDATOS!K:K,A76)</f>
        <v>0</v>
      </c>
      <c r="G76">
        <f>COUNTIFS(BD_CANDIDATOS!H:H,B76,BD_CANDIDATOS!K:K,A76,BD_CANDIDATOS!N:N,"SI")</f>
        <v>0</v>
      </c>
      <c r="H76">
        <f>COUNTIFS(BD_CANDIDATOS!H:H,B76,BD_CANDIDATOS!K:K,A76,BD_CANDIDATOS!O:O,"SI")</f>
        <v>0</v>
      </c>
      <c r="I76" s="12">
        <f t="shared" si="2"/>
        <v>0</v>
      </c>
    </row>
    <row r="77" spans="3:9">
      <c r="C77" t="str">
        <f ca="1">IFERROR(_xludf.XLOOKUP(B77,BD_VACANTES!A:A,BD_VACANTES!C:C,""),"")</f>
        <v/>
      </c>
      <c r="D77" t="str">
        <f ca="1">IFERROR(_xludf.XLOOKUP(B77,BD_VACANTES!A:A,BD_VACANTES!E:E,""),"")</f>
        <v/>
      </c>
      <c r="E77" s="4"/>
      <c r="F77">
        <f>COUNTIFS(BD_CANDIDATOS!H:H,B77,BD_CANDIDATOS!K:K,A77)</f>
        <v>0</v>
      </c>
      <c r="G77">
        <f>COUNTIFS(BD_CANDIDATOS!H:H,B77,BD_CANDIDATOS!K:K,A77,BD_CANDIDATOS!N:N,"SI")</f>
        <v>0</v>
      </c>
      <c r="H77">
        <f>COUNTIFS(BD_CANDIDATOS!H:H,B77,BD_CANDIDATOS!K:K,A77,BD_CANDIDATOS!O:O,"SI")</f>
        <v>0</v>
      </c>
      <c r="I77" s="12">
        <f t="shared" si="2"/>
        <v>0</v>
      </c>
    </row>
    <row r="78" spans="3:9">
      <c r="C78" t="str">
        <f ca="1">IFERROR(_xludf.XLOOKUP(B78,BD_VACANTES!A:A,BD_VACANTES!C:C,""),"")</f>
        <v/>
      </c>
      <c r="D78" t="str">
        <f ca="1">IFERROR(_xludf.XLOOKUP(B78,BD_VACANTES!A:A,BD_VACANTES!E:E,""),"")</f>
        <v/>
      </c>
      <c r="E78" s="4"/>
      <c r="F78">
        <f>COUNTIFS(BD_CANDIDATOS!H:H,B78,BD_CANDIDATOS!K:K,A78)</f>
        <v>0</v>
      </c>
      <c r="G78">
        <f>COUNTIFS(BD_CANDIDATOS!H:H,B78,BD_CANDIDATOS!K:K,A78,BD_CANDIDATOS!N:N,"SI")</f>
        <v>0</v>
      </c>
      <c r="H78">
        <f>COUNTIFS(BD_CANDIDATOS!H:H,B78,BD_CANDIDATOS!K:K,A78,BD_CANDIDATOS!O:O,"SI")</f>
        <v>0</v>
      </c>
      <c r="I78" s="12">
        <f t="shared" si="2"/>
        <v>0</v>
      </c>
    </row>
    <row r="79" spans="3:9">
      <c r="C79" t="str">
        <f ca="1">IFERROR(_xludf.XLOOKUP(B79,BD_VACANTES!A:A,BD_VACANTES!C:C,""),"")</f>
        <v/>
      </c>
      <c r="D79" t="str">
        <f ca="1">IFERROR(_xludf.XLOOKUP(B79,BD_VACANTES!A:A,BD_VACANTES!E:E,""),"")</f>
        <v/>
      </c>
      <c r="E79" s="4"/>
      <c r="F79">
        <f>COUNTIFS(BD_CANDIDATOS!H:H,B79,BD_CANDIDATOS!K:K,A79)</f>
        <v>0</v>
      </c>
      <c r="G79">
        <f>COUNTIFS(BD_CANDIDATOS!H:H,B79,BD_CANDIDATOS!K:K,A79,BD_CANDIDATOS!N:N,"SI")</f>
        <v>0</v>
      </c>
      <c r="H79">
        <f>COUNTIFS(BD_CANDIDATOS!H:H,B79,BD_CANDIDATOS!K:K,A79,BD_CANDIDATOS!O:O,"SI")</f>
        <v>0</v>
      </c>
      <c r="I79" s="12">
        <f t="shared" si="2"/>
        <v>0</v>
      </c>
    </row>
    <row r="80" spans="3:9">
      <c r="C80" t="str">
        <f ca="1">IFERROR(_xludf.XLOOKUP(B80,BD_VACANTES!A:A,BD_VACANTES!C:C,""),"")</f>
        <v/>
      </c>
      <c r="D80" t="str">
        <f ca="1">IFERROR(_xludf.XLOOKUP(B80,BD_VACANTES!A:A,BD_VACANTES!E:E,""),"")</f>
        <v/>
      </c>
      <c r="E80" s="4"/>
      <c r="F80">
        <f>COUNTIFS(BD_CANDIDATOS!H:H,B80,BD_CANDIDATOS!K:K,A80)</f>
        <v>0</v>
      </c>
      <c r="G80">
        <f>COUNTIFS(BD_CANDIDATOS!H:H,B80,BD_CANDIDATOS!K:K,A80,BD_CANDIDATOS!N:N,"SI")</f>
        <v>0</v>
      </c>
      <c r="H80">
        <f>COUNTIFS(BD_CANDIDATOS!H:H,B80,BD_CANDIDATOS!K:K,A80,BD_CANDIDATOS!O:O,"SI")</f>
        <v>0</v>
      </c>
      <c r="I80" s="12">
        <f t="shared" si="2"/>
        <v>0</v>
      </c>
    </row>
    <row r="81" spans="3:9">
      <c r="C81" t="str">
        <f ca="1">IFERROR(_xludf.XLOOKUP(B81,BD_VACANTES!A:A,BD_VACANTES!C:C,""),"")</f>
        <v/>
      </c>
      <c r="D81" t="str">
        <f ca="1">IFERROR(_xludf.XLOOKUP(B81,BD_VACANTES!A:A,BD_VACANTES!E:E,""),"")</f>
        <v/>
      </c>
      <c r="E81" s="4"/>
      <c r="F81">
        <f>COUNTIFS(BD_CANDIDATOS!H:H,B81,BD_CANDIDATOS!K:K,A81)</f>
        <v>0</v>
      </c>
      <c r="G81">
        <f>COUNTIFS(BD_CANDIDATOS!H:H,B81,BD_CANDIDATOS!K:K,A81,BD_CANDIDATOS!N:N,"SI")</f>
        <v>0</v>
      </c>
      <c r="H81">
        <f>COUNTIFS(BD_CANDIDATOS!H:H,B81,BD_CANDIDATOS!K:K,A81,BD_CANDIDATOS!O:O,"SI")</f>
        <v>0</v>
      </c>
      <c r="I81" s="12">
        <f t="shared" si="2"/>
        <v>0</v>
      </c>
    </row>
    <row r="82" spans="3:9">
      <c r="C82" t="str">
        <f ca="1">IFERROR(_xludf.XLOOKUP(B82,BD_VACANTES!A:A,BD_VACANTES!C:C,""),"")</f>
        <v/>
      </c>
      <c r="D82" t="str">
        <f ca="1">IFERROR(_xludf.XLOOKUP(B82,BD_VACANTES!A:A,BD_VACANTES!E:E,""),"")</f>
        <v/>
      </c>
      <c r="E82" s="4"/>
      <c r="F82">
        <f>COUNTIFS(BD_CANDIDATOS!H:H,B82,BD_CANDIDATOS!K:K,A82)</f>
        <v>0</v>
      </c>
      <c r="G82">
        <f>COUNTIFS(BD_CANDIDATOS!H:H,B82,BD_CANDIDATOS!K:K,A82,BD_CANDIDATOS!N:N,"SI")</f>
        <v>0</v>
      </c>
      <c r="H82">
        <f>COUNTIFS(BD_CANDIDATOS!H:H,B82,BD_CANDIDATOS!K:K,A82,BD_CANDIDATOS!O:O,"SI")</f>
        <v>0</v>
      </c>
      <c r="I82" s="12">
        <f t="shared" si="2"/>
        <v>0</v>
      </c>
    </row>
    <row r="83" spans="3:9">
      <c r="C83" t="str">
        <f ca="1">IFERROR(_xludf.XLOOKUP(B83,BD_VACANTES!A:A,BD_VACANTES!C:C,""),"")</f>
        <v/>
      </c>
      <c r="D83" t="str">
        <f ca="1">IFERROR(_xludf.XLOOKUP(B83,BD_VACANTES!A:A,BD_VACANTES!E:E,""),"")</f>
        <v/>
      </c>
      <c r="E83" s="4"/>
      <c r="F83">
        <f>COUNTIFS(BD_CANDIDATOS!H:H,B83,BD_CANDIDATOS!K:K,A83)</f>
        <v>0</v>
      </c>
      <c r="G83">
        <f>COUNTIFS(BD_CANDIDATOS!H:H,B83,BD_CANDIDATOS!K:K,A83,BD_CANDIDATOS!N:N,"SI")</f>
        <v>0</v>
      </c>
      <c r="H83">
        <f>COUNTIFS(BD_CANDIDATOS!H:H,B83,BD_CANDIDATOS!K:K,A83,BD_CANDIDATOS!O:O,"SI")</f>
        <v>0</v>
      </c>
      <c r="I83" s="12">
        <f t="shared" si="2"/>
        <v>0</v>
      </c>
    </row>
    <row r="84" spans="3:9">
      <c r="C84" t="str">
        <f ca="1">IFERROR(_xludf.XLOOKUP(B84,BD_VACANTES!A:A,BD_VACANTES!C:C,""),"")</f>
        <v/>
      </c>
      <c r="D84" t="str">
        <f ca="1">IFERROR(_xludf.XLOOKUP(B84,BD_VACANTES!A:A,BD_VACANTES!E:E,""),"")</f>
        <v/>
      </c>
      <c r="E84" s="4"/>
      <c r="F84">
        <f>COUNTIFS(BD_CANDIDATOS!H:H,B84,BD_CANDIDATOS!K:K,A84)</f>
        <v>0</v>
      </c>
      <c r="G84">
        <f>COUNTIFS(BD_CANDIDATOS!H:H,B84,BD_CANDIDATOS!K:K,A84,BD_CANDIDATOS!N:N,"SI")</f>
        <v>0</v>
      </c>
      <c r="H84">
        <f>COUNTIFS(BD_CANDIDATOS!H:H,B84,BD_CANDIDATOS!K:K,A84,BD_CANDIDATOS!O:O,"SI")</f>
        <v>0</v>
      </c>
      <c r="I84" s="12">
        <f t="shared" si="2"/>
        <v>0</v>
      </c>
    </row>
    <row r="85" spans="3:9">
      <c r="C85" t="str">
        <f ca="1">IFERROR(_xludf.XLOOKUP(B85,BD_VACANTES!A:A,BD_VACANTES!C:C,""),"")</f>
        <v/>
      </c>
      <c r="D85" t="str">
        <f ca="1">IFERROR(_xludf.XLOOKUP(B85,BD_VACANTES!A:A,BD_VACANTES!E:E,""),"")</f>
        <v/>
      </c>
      <c r="E85" s="4"/>
      <c r="F85">
        <f>COUNTIFS(BD_CANDIDATOS!H:H,B85,BD_CANDIDATOS!K:K,A85)</f>
        <v>0</v>
      </c>
      <c r="G85">
        <f>COUNTIFS(BD_CANDIDATOS!H:H,B85,BD_CANDIDATOS!K:K,A85,BD_CANDIDATOS!N:N,"SI")</f>
        <v>0</v>
      </c>
      <c r="H85">
        <f>COUNTIFS(BD_CANDIDATOS!H:H,B85,BD_CANDIDATOS!K:K,A85,BD_CANDIDATOS!O:O,"SI")</f>
        <v>0</v>
      </c>
      <c r="I85" s="12">
        <f t="shared" si="2"/>
        <v>0</v>
      </c>
    </row>
    <row r="86" spans="3:9">
      <c r="C86" t="str">
        <f ca="1">IFERROR(_xludf.XLOOKUP(B86,BD_VACANTES!A:A,BD_VACANTES!C:C,""),"")</f>
        <v/>
      </c>
      <c r="D86" t="str">
        <f ca="1">IFERROR(_xludf.XLOOKUP(B86,BD_VACANTES!A:A,BD_VACANTES!E:E,""),"")</f>
        <v/>
      </c>
      <c r="E86" s="4"/>
      <c r="F86">
        <f>COUNTIFS(BD_CANDIDATOS!H:H,B86,BD_CANDIDATOS!K:K,A86)</f>
        <v>0</v>
      </c>
      <c r="G86">
        <f>COUNTIFS(BD_CANDIDATOS!H:H,B86,BD_CANDIDATOS!K:K,A86,BD_CANDIDATOS!N:N,"SI")</f>
        <v>0</v>
      </c>
      <c r="H86">
        <f>COUNTIFS(BD_CANDIDATOS!H:H,B86,BD_CANDIDATOS!K:K,A86,BD_CANDIDATOS!O:O,"SI")</f>
        <v>0</v>
      </c>
      <c r="I86" s="12">
        <f t="shared" si="2"/>
        <v>0</v>
      </c>
    </row>
    <row r="87" spans="3:9">
      <c r="C87" t="str">
        <f ca="1">IFERROR(_xludf.XLOOKUP(B87,BD_VACANTES!A:A,BD_VACANTES!C:C,""),"")</f>
        <v/>
      </c>
      <c r="D87" t="str">
        <f ca="1">IFERROR(_xludf.XLOOKUP(B87,BD_VACANTES!A:A,BD_VACANTES!E:E,""),"")</f>
        <v/>
      </c>
      <c r="E87" s="4"/>
      <c r="F87">
        <f>COUNTIFS(BD_CANDIDATOS!H:H,B87,BD_CANDIDATOS!K:K,A87)</f>
        <v>0</v>
      </c>
      <c r="G87">
        <f>COUNTIFS(BD_CANDIDATOS!H:H,B87,BD_CANDIDATOS!K:K,A87,BD_CANDIDATOS!N:N,"SI")</f>
        <v>0</v>
      </c>
      <c r="H87">
        <f>COUNTIFS(BD_CANDIDATOS!H:H,B87,BD_CANDIDATOS!K:K,A87,BD_CANDIDATOS!O:O,"SI")</f>
        <v>0</v>
      </c>
      <c r="I87" s="12">
        <f t="shared" si="2"/>
        <v>0</v>
      </c>
    </row>
    <row r="88" spans="3:9">
      <c r="C88" t="str">
        <f ca="1">IFERROR(_xludf.XLOOKUP(B88,BD_VACANTES!A:A,BD_VACANTES!C:C,""),"")</f>
        <v/>
      </c>
      <c r="D88" t="str">
        <f ca="1">IFERROR(_xludf.XLOOKUP(B88,BD_VACANTES!A:A,BD_VACANTES!E:E,""),"")</f>
        <v/>
      </c>
      <c r="E88" s="4"/>
      <c r="F88">
        <f>COUNTIFS(BD_CANDIDATOS!H:H,B88,BD_CANDIDATOS!K:K,A88)</f>
        <v>0</v>
      </c>
      <c r="G88">
        <f>COUNTIFS(BD_CANDIDATOS!H:H,B88,BD_CANDIDATOS!K:K,A88,BD_CANDIDATOS!N:N,"SI")</f>
        <v>0</v>
      </c>
      <c r="H88">
        <f>COUNTIFS(BD_CANDIDATOS!H:H,B88,BD_CANDIDATOS!K:K,A88,BD_CANDIDATOS!O:O,"SI")</f>
        <v>0</v>
      </c>
      <c r="I88" s="12">
        <f t="shared" si="2"/>
        <v>0</v>
      </c>
    </row>
    <row r="89" spans="3:9">
      <c r="C89" t="str">
        <f ca="1">IFERROR(_xludf.XLOOKUP(B89,BD_VACANTES!A:A,BD_VACANTES!C:C,""),"")</f>
        <v/>
      </c>
      <c r="D89" t="str">
        <f ca="1">IFERROR(_xludf.XLOOKUP(B89,BD_VACANTES!A:A,BD_VACANTES!E:E,""),"")</f>
        <v/>
      </c>
      <c r="E89" s="4"/>
      <c r="F89">
        <f>COUNTIFS(BD_CANDIDATOS!H:H,B89,BD_CANDIDATOS!K:K,A89)</f>
        <v>0</v>
      </c>
      <c r="G89">
        <f>COUNTIFS(BD_CANDIDATOS!H:H,B89,BD_CANDIDATOS!K:K,A89,BD_CANDIDATOS!N:N,"SI")</f>
        <v>0</v>
      </c>
      <c r="H89">
        <f>COUNTIFS(BD_CANDIDATOS!H:H,B89,BD_CANDIDATOS!K:K,A89,BD_CANDIDATOS!O:O,"SI")</f>
        <v>0</v>
      </c>
      <c r="I89" s="12">
        <f t="shared" si="2"/>
        <v>0</v>
      </c>
    </row>
    <row r="90" spans="3:9">
      <c r="C90" t="str">
        <f ca="1">IFERROR(_xludf.XLOOKUP(B90,BD_VACANTES!A:A,BD_VACANTES!C:C,""),"")</f>
        <v/>
      </c>
      <c r="D90" t="str">
        <f ca="1">IFERROR(_xludf.XLOOKUP(B90,BD_VACANTES!A:A,BD_VACANTES!E:E,""),"")</f>
        <v/>
      </c>
      <c r="E90" s="4"/>
      <c r="F90">
        <f>COUNTIFS(BD_CANDIDATOS!H:H,B90,BD_CANDIDATOS!K:K,A90)</f>
        <v>0</v>
      </c>
      <c r="G90">
        <f>COUNTIFS(BD_CANDIDATOS!H:H,B90,BD_CANDIDATOS!K:K,A90,BD_CANDIDATOS!N:N,"SI")</f>
        <v>0</v>
      </c>
      <c r="H90">
        <f>COUNTIFS(BD_CANDIDATOS!H:H,B90,BD_CANDIDATOS!K:K,A90,BD_CANDIDATOS!O:O,"SI")</f>
        <v>0</v>
      </c>
      <c r="I90" s="12">
        <f t="shared" si="2"/>
        <v>0</v>
      </c>
    </row>
    <row r="91" spans="3:9">
      <c r="C91" t="str">
        <f ca="1">IFERROR(_xludf.XLOOKUP(B91,BD_VACANTES!A:A,BD_VACANTES!C:C,""),"")</f>
        <v/>
      </c>
      <c r="D91" t="str">
        <f ca="1">IFERROR(_xludf.XLOOKUP(B91,BD_VACANTES!A:A,BD_VACANTES!E:E,""),"")</f>
        <v/>
      </c>
      <c r="E91" s="4"/>
      <c r="F91">
        <f>COUNTIFS(BD_CANDIDATOS!H:H,B91,BD_CANDIDATOS!K:K,A91)</f>
        <v>0</v>
      </c>
      <c r="G91">
        <f>COUNTIFS(BD_CANDIDATOS!H:H,B91,BD_CANDIDATOS!K:K,A91,BD_CANDIDATOS!N:N,"SI")</f>
        <v>0</v>
      </c>
      <c r="H91">
        <f>COUNTIFS(BD_CANDIDATOS!H:H,B91,BD_CANDIDATOS!K:K,A91,BD_CANDIDATOS!O:O,"SI")</f>
        <v>0</v>
      </c>
      <c r="I91" s="12">
        <f t="shared" si="2"/>
        <v>0</v>
      </c>
    </row>
    <row r="92" spans="3:9">
      <c r="C92" t="str">
        <f ca="1">IFERROR(_xludf.XLOOKUP(B92,BD_VACANTES!A:A,BD_VACANTES!C:C,""),"")</f>
        <v/>
      </c>
      <c r="D92" t="str">
        <f ca="1">IFERROR(_xludf.XLOOKUP(B92,BD_VACANTES!A:A,BD_VACANTES!E:E,""),"")</f>
        <v/>
      </c>
      <c r="E92" s="4"/>
      <c r="F92">
        <f>COUNTIFS(BD_CANDIDATOS!H:H,B92,BD_CANDIDATOS!K:K,A92)</f>
        <v>0</v>
      </c>
      <c r="G92">
        <f>COUNTIFS(BD_CANDIDATOS!H:H,B92,BD_CANDIDATOS!K:K,A92,BD_CANDIDATOS!N:N,"SI")</f>
        <v>0</v>
      </c>
      <c r="H92">
        <f>COUNTIFS(BD_CANDIDATOS!H:H,B92,BD_CANDIDATOS!K:K,A92,BD_CANDIDATOS!O:O,"SI")</f>
        <v>0</v>
      </c>
      <c r="I92" s="12">
        <f t="shared" si="2"/>
        <v>0</v>
      </c>
    </row>
    <row r="93" spans="3:9">
      <c r="C93" t="str">
        <f ca="1">IFERROR(_xludf.XLOOKUP(B93,BD_VACANTES!A:A,BD_VACANTES!C:C,""),"")</f>
        <v/>
      </c>
      <c r="D93" t="str">
        <f ca="1">IFERROR(_xludf.XLOOKUP(B93,BD_VACANTES!A:A,BD_VACANTES!E:E,""),"")</f>
        <v/>
      </c>
      <c r="E93" s="4"/>
      <c r="F93">
        <f>COUNTIFS(BD_CANDIDATOS!H:H,B93,BD_CANDIDATOS!K:K,A93)</f>
        <v>0</v>
      </c>
      <c r="G93">
        <f>COUNTIFS(BD_CANDIDATOS!H:H,B93,BD_CANDIDATOS!K:K,A93,BD_CANDIDATOS!N:N,"SI")</f>
        <v>0</v>
      </c>
      <c r="H93">
        <f>COUNTIFS(BD_CANDIDATOS!H:H,B93,BD_CANDIDATOS!K:K,A93,BD_CANDIDATOS!O:O,"SI")</f>
        <v>0</v>
      </c>
      <c r="I93" s="12">
        <f t="shared" si="2"/>
        <v>0</v>
      </c>
    </row>
    <row r="94" spans="3:9">
      <c r="C94" t="str">
        <f ca="1">IFERROR(_xludf.XLOOKUP(B94,BD_VACANTES!A:A,BD_VACANTES!C:C,""),"")</f>
        <v/>
      </c>
      <c r="D94" t="str">
        <f ca="1">IFERROR(_xludf.XLOOKUP(B94,BD_VACANTES!A:A,BD_VACANTES!E:E,""),"")</f>
        <v/>
      </c>
      <c r="E94" s="4"/>
      <c r="F94">
        <f>COUNTIFS(BD_CANDIDATOS!H:H,B94,BD_CANDIDATOS!K:K,A94)</f>
        <v>0</v>
      </c>
      <c r="G94">
        <f>COUNTIFS(BD_CANDIDATOS!H:H,B94,BD_CANDIDATOS!K:K,A94,BD_CANDIDATOS!N:N,"SI")</f>
        <v>0</v>
      </c>
      <c r="H94">
        <f>COUNTIFS(BD_CANDIDATOS!H:H,B94,BD_CANDIDATOS!K:K,A94,BD_CANDIDATOS!O:O,"SI")</f>
        <v>0</v>
      </c>
      <c r="I94" s="12">
        <f t="shared" si="2"/>
        <v>0</v>
      </c>
    </row>
    <row r="95" spans="3:9">
      <c r="C95" t="str">
        <f ca="1">IFERROR(_xludf.XLOOKUP(B95,BD_VACANTES!A:A,BD_VACANTES!C:C,""),"")</f>
        <v/>
      </c>
      <c r="D95" t="str">
        <f ca="1">IFERROR(_xludf.XLOOKUP(B95,BD_VACANTES!A:A,BD_VACANTES!E:E,""),"")</f>
        <v/>
      </c>
      <c r="E95" s="4"/>
      <c r="F95">
        <f>COUNTIFS(BD_CANDIDATOS!H:H,B95,BD_CANDIDATOS!K:K,A95)</f>
        <v>0</v>
      </c>
      <c r="G95">
        <f>COUNTIFS(BD_CANDIDATOS!H:H,B95,BD_CANDIDATOS!K:K,A95,BD_CANDIDATOS!N:N,"SI")</f>
        <v>0</v>
      </c>
      <c r="H95">
        <f>COUNTIFS(BD_CANDIDATOS!H:H,B95,BD_CANDIDATOS!K:K,A95,BD_CANDIDATOS!O:O,"SI")</f>
        <v>0</v>
      </c>
      <c r="I95" s="12">
        <f t="shared" si="2"/>
        <v>0</v>
      </c>
    </row>
    <row r="96" spans="3:9">
      <c r="C96" t="str">
        <f ca="1">IFERROR(_xludf.XLOOKUP(B96,BD_VACANTES!A:A,BD_VACANTES!C:C,""),"")</f>
        <v/>
      </c>
      <c r="D96" t="str">
        <f ca="1">IFERROR(_xludf.XLOOKUP(B96,BD_VACANTES!A:A,BD_VACANTES!E:E,""),"")</f>
        <v/>
      </c>
      <c r="E96" s="4"/>
      <c r="F96">
        <f>COUNTIFS(BD_CANDIDATOS!H:H,B96,BD_CANDIDATOS!K:K,A96)</f>
        <v>0</v>
      </c>
      <c r="G96">
        <f>COUNTIFS(BD_CANDIDATOS!H:H,B96,BD_CANDIDATOS!K:K,A96,BD_CANDIDATOS!N:N,"SI")</f>
        <v>0</v>
      </c>
      <c r="H96">
        <f>COUNTIFS(BD_CANDIDATOS!H:H,B96,BD_CANDIDATOS!K:K,A96,BD_CANDIDATOS!O:O,"SI")</f>
        <v>0</v>
      </c>
      <c r="I96" s="12">
        <f t="shared" si="2"/>
        <v>0</v>
      </c>
    </row>
    <row r="97" spans="3:9">
      <c r="C97" t="str">
        <f ca="1">IFERROR(_xludf.XLOOKUP(B97,BD_VACANTES!A:A,BD_VACANTES!C:C,""),"")</f>
        <v/>
      </c>
      <c r="D97" t="str">
        <f ca="1">IFERROR(_xludf.XLOOKUP(B97,BD_VACANTES!A:A,BD_VACANTES!E:E,""),"")</f>
        <v/>
      </c>
      <c r="E97" s="4"/>
      <c r="F97">
        <f>COUNTIFS(BD_CANDIDATOS!H:H,B97,BD_CANDIDATOS!K:K,A97)</f>
        <v>0</v>
      </c>
      <c r="G97">
        <f>COUNTIFS(BD_CANDIDATOS!H:H,B97,BD_CANDIDATOS!K:K,A97,BD_CANDIDATOS!N:N,"SI")</f>
        <v>0</v>
      </c>
      <c r="H97">
        <f>COUNTIFS(BD_CANDIDATOS!H:H,B97,BD_CANDIDATOS!K:K,A97,BD_CANDIDATOS!O:O,"SI")</f>
        <v>0</v>
      </c>
      <c r="I97" s="12">
        <f t="shared" si="2"/>
        <v>0</v>
      </c>
    </row>
    <row r="98" spans="3:9">
      <c r="C98" t="str">
        <f ca="1">IFERROR(_xludf.XLOOKUP(B98,BD_VACANTES!A:A,BD_VACANTES!C:C,""),"")</f>
        <v/>
      </c>
      <c r="D98" t="str">
        <f ca="1">IFERROR(_xludf.XLOOKUP(B98,BD_VACANTES!A:A,BD_VACANTES!E:E,""),"")</f>
        <v/>
      </c>
      <c r="E98" s="4"/>
      <c r="F98">
        <f>COUNTIFS(BD_CANDIDATOS!H:H,B98,BD_CANDIDATOS!K:K,A98)</f>
        <v>0</v>
      </c>
      <c r="G98">
        <f>COUNTIFS(BD_CANDIDATOS!H:H,B98,BD_CANDIDATOS!K:K,A98,BD_CANDIDATOS!N:N,"SI")</f>
        <v>0</v>
      </c>
      <c r="H98">
        <f>COUNTIFS(BD_CANDIDATOS!H:H,B98,BD_CANDIDATOS!K:K,A98,BD_CANDIDATOS!O:O,"SI")</f>
        <v>0</v>
      </c>
      <c r="I98" s="12">
        <f t="shared" ref="I98:I129" si="3">IFERROR(H98/F98,0)</f>
        <v>0</v>
      </c>
    </row>
    <row r="99" spans="3:9">
      <c r="C99" t="str">
        <f ca="1">IFERROR(_xludf.XLOOKUP(B99,BD_VACANTES!A:A,BD_VACANTES!C:C,""),"")</f>
        <v/>
      </c>
      <c r="D99" t="str">
        <f ca="1">IFERROR(_xludf.XLOOKUP(B99,BD_VACANTES!A:A,BD_VACANTES!E:E,""),"")</f>
        <v/>
      </c>
      <c r="E99" s="4"/>
      <c r="F99">
        <f>COUNTIFS(BD_CANDIDATOS!H:H,B99,BD_CANDIDATOS!K:K,A99)</f>
        <v>0</v>
      </c>
      <c r="G99">
        <f>COUNTIFS(BD_CANDIDATOS!H:H,B99,BD_CANDIDATOS!K:K,A99,BD_CANDIDATOS!N:N,"SI")</f>
        <v>0</v>
      </c>
      <c r="H99">
        <f>COUNTIFS(BD_CANDIDATOS!H:H,B99,BD_CANDIDATOS!K:K,A99,BD_CANDIDATOS!O:O,"SI")</f>
        <v>0</v>
      </c>
      <c r="I99" s="12">
        <f t="shared" si="3"/>
        <v>0</v>
      </c>
    </row>
    <row r="100" spans="3:9">
      <c r="C100" t="str">
        <f ca="1">IFERROR(_xludf.XLOOKUP(B100,BD_VACANTES!A:A,BD_VACANTES!C:C,""),"")</f>
        <v/>
      </c>
      <c r="D100" t="str">
        <f ca="1">IFERROR(_xludf.XLOOKUP(B100,BD_VACANTES!A:A,BD_VACANTES!E:E,""),"")</f>
        <v/>
      </c>
      <c r="E100" s="4"/>
      <c r="F100">
        <f>COUNTIFS(BD_CANDIDATOS!H:H,B100,BD_CANDIDATOS!K:K,A100)</f>
        <v>0</v>
      </c>
      <c r="G100">
        <f>COUNTIFS(BD_CANDIDATOS!H:H,B100,BD_CANDIDATOS!K:K,A100,BD_CANDIDATOS!N:N,"SI")</f>
        <v>0</v>
      </c>
      <c r="H100">
        <f>COUNTIFS(BD_CANDIDATOS!H:H,B100,BD_CANDIDATOS!K:K,A100,BD_CANDIDATOS!O:O,"SI")</f>
        <v>0</v>
      </c>
      <c r="I100" s="12">
        <f t="shared" si="3"/>
        <v>0</v>
      </c>
    </row>
    <row r="101" spans="3:9">
      <c r="C101" t="str">
        <f ca="1">IFERROR(_xludf.XLOOKUP(B101,BD_VACANTES!A:A,BD_VACANTES!C:C,""),"")</f>
        <v/>
      </c>
      <c r="D101" t="str">
        <f ca="1">IFERROR(_xludf.XLOOKUP(B101,BD_VACANTES!A:A,BD_VACANTES!E:E,""),"")</f>
        <v/>
      </c>
      <c r="E101" s="4"/>
      <c r="F101">
        <f>COUNTIFS(BD_CANDIDATOS!H:H,B101,BD_CANDIDATOS!K:K,A101)</f>
        <v>0</v>
      </c>
      <c r="G101">
        <f>COUNTIFS(BD_CANDIDATOS!H:H,B101,BD_CANDIDATOS!K:K,A101,BD_CANDIDATOS!N:N,"SI")</f>
        <v>0</v>
      </c>
      <c r="H101">
        <f>COUNTIFS(BD_CANDIDATOS!H:H,B101,BD_CANDIDATOS!K:K,A101,BD_CANDIDATOS!O:O,"SI")</f>
        <v>0</v>
      </c>
      <c r="I101" s="12">
        <f t="shared" si="3"/>
        <v>0</v>
      </c>
    </row>
    <row r="102" spans="3:9">
      <c r="C102" t="str">
        <f ca="1">IFERROR(_xludf.XLOOKUP(B102,BD_VACANTES!A:A,BD_VACANTES!C:C,""),"")</f>
        <v/>
      </c>
      <c r="D102" t="str">
        <f ca="1">IFERROR(_xludf.XLOOKUP(B102,BD_VACANTES!A:A,BD_VACANTES!E:E,""),"")</f>
        <v/>
      </c>
      <c r="E102" s="4"/>
      <c r="F102">
        <f>COUNTIFS(BD_CANDIDATOS!H:H,B102,BD_CANDIDATOS!K:K,A102)</f>
        <v>0</v>
      </c>
      <c r="G102">
        <f>COUNTIFS(BD_CANDIDATOS!H:H,B102,BD_CANDIDATOS!K:K,A102,BD_CANDIDATOS!N:N,"SI")</f>
        <v>0</v>
      </c>
      <c r="H102">
        <f>COUNTIFS(BD_CANDIDATOS!H:H,B102,BD_CANDIDATOS!K:K,A102,BD_CANDIDATOS!O:O,"SI")</f>
        <v>0</v>
      </c>
      <c r="I102" s="12">
        <f t="shared" si="3"/>
        <v>0</v>
      </c>
    </row>
    <row r="103" spans="3:9">
      <c r="C103" t="str">
        <f ca="1">IFERROR(_xludf.XLOOKUP(B103,BD_VACANTES!A:A,BD_VACANTES!C:C,""),"")</f>
        <v/>
      </c>
      <c r="D103" t="str">
        <f ca="1">IFERROR(_xludf.XLOOKUP(B103,BD_VACANTES!A:A,BD_VACANTES!E:E,""),"")</f>
        <v/>
      </c>
      <c r="E103" s="4"/>
      <c r="F103">
        <f>COUNTIFS(BD_CANDIDATOS!H:H,B103,BD_CANDIDATOS!K:K,A103)</f>
        <v>0</v>
      </c>
      <c r="G103">
        <f>COUNTIFS(BD_CANDIDATOS!H:H,B103,BD_CANDIDATOS!K:K,A103,BD_CANDIDATOS!N:N,"SI")</f>
        <v>0</v>
      </c>
      <c r="H103">
        <f>COUNTIFS(BD_CANDIDATOS!H:H,B103,BD_CANDIDATOS!K:K,A103,BD_CANDIDATOS!O:O,"SI")</f>
        <v>0</v>
      </c>
      <c r="I103" s="12">
        <f t="shared" si="3"/>
        <v>0</v>
      </c>
    </row>
    <row r="104" spans="3:9">
      <c r="C104" t="str">
        <f ca="1">IFERROR(_xludf.XLOOKUP(B104,BD_VACANTES!A:A,BD_VACANTES!C:C,""),"")</f>
        <v/>
      </c>
      <c r="D104" t="str">
        <f ca="1">IFERROR(_xludf.XLOOKUP(B104,BD_VACANTES!A:A,BD_VACANTES!E:E,""),"")</f>
        <v/>
      </c>
      <c r="E104" s="4"/>
      <c r="F104">
        <f>COUNTIFS(BD_CANDIDATOS!H:H,B104,BD_CANDIDATOS!K:K,A104)</f>
        <v>0</v>
      </c>
      <c r="G104">
        <f>COUNTIFS(BD_CANDIDATOS!H:H,B104,BD_CANDIDATOS!K:K,A104,BD_CANDIDATOS!N:N,"SI")</f>
        <v>0</v>
      </c>
      <c r="H104">
        <f>COUNTIFS(BD_CANDIDATOS!H:H,B104,BD_CANDIDATOS!K:K,A104,BD_CANDIDATOS!O:O,"SI")</f>
        <v>0</v>
      </c>
      <c r="I104" s="12">
        <f t="shared" si="3"/>
        <v>0</v>
      </c>
    </row>
    <row r="105" spans="3:9">
      <c r="C105" t="str">
        <f ca="1">IFERROR(_xludf.XLOOKUP(B105,BD_VACANTES!A:A,BD_VACANTES!C:C,""),"")</f>
        <v/>
      </c>
      <c r="D105" t="str">
        <f ca="1">IFERROR(_xludf.XLOOKUP(B105,BD_VACANTES!A:A,BD_VACANTES!E:E,""),"")</f>
        <v/>
      </c>
      <c r="E105" s="4"/>
      <c r="F105">
        <f>COUNTIFS(BD_CANDIDATOS!H:H,B105,BD_CANDIDATOS!K:K,A105)</f>
        <v>0</v>
      </c>
      <c r="G105">
        <f>COUNTIFS(BD_CANDIDATOS!H:H,B105,BD_CANDIDATOS!K:K,A105,BD_CANDIDATOS!N:N,"SI")</f>
        <v>0</v>
      </c>
      <c r="H105">
        <f>COUNTIFS(BD_CANDIDATOS!H:H,B105,BD_CANDIDATOS!K:K,A105,BD_CANDIDATOS!O:O,"SI")</f>
        <v>0</v>
      </c>
      <c r="I105" s="12">
        <f t="shared" si="3"/>
        <v>0</v>
      </c>
    </row>
    <row r="106" spans="3:9">
      <c r="C106" t="str">
        <f ca="1">IFERROR(_xludf.XLOOKUP(B106,BD_VACANTES!A:A,BD_VACANTES!C:C,""),"")</f>
        <v/>
      </c>
      <c r="D106" t="str">
        <f ca="1">IFERROR(_xludf.XLOOKUP(B106,BD_VACANTES!A:A,BD_VACANTES!E:E,""),"")</f>
        <v/>
      </c>
      <c r="E106" s="4"/>
      <c r="F106">
        <f>COUNTIFS(BD_CANDIDATOS!H:H,B106,BD_CANDIDATOS!K:K,A106)</f>
        <v>0</v>
      </c>
      <c r="G106">
        <f>COUNTIFS(BD_CANDIDATOS!H:H,B106,BD_CANDIDATOS!K:K,A106,BD_CANDIDATOS!N:N,"SI")</f>
        <v>0</v>
      </c>
      <c r="H106">
        <f>COUNTIFS(BD_CANDIDATOS!H:H,B106,BD_CANDIDATOS!K:K,A106,BD_CANDIDATOS!O:O,"SI")</f>
        <v>0</v>
      </c>
      <c r="I106" s="12">
        <f t="shared" si="3"/>
        <v>0</v>
      </c>
    </row>
    <row r="107" spans="3:9">
      <c r="C107" t="str">
        <f ca="1">IFERROR(_xludf.XLOOKUP(B107,BD_VACANTES!A:A,BD_VACANTES!C:C,""),"")</f>
        <v/>
      </c>
      <c r="D107" t="str">
        <f ca="1">IFERROR(_xludf.XLOOKUP(B107,BD_VACANTES!A:A,BD_VACANTES!E:E,""),"")</f>
        <v/>
      </c>
      <c r="E107" s="4"/>
      <c r="F107">
        <f>COUNTIFS(BD_CANDIDATOS!H:H,B107,BD_CANDIDATOS!K:K,A107)</f>
        <v>0</v>
      </c>
      <c r="G107">
        <f>COUNTIFS(BD_CANDIDATOS!H:H,B107,BD_CANDIDATOS!K:K,A107,BD_CANDIDATOS!N:N,"SI")</f>
        <v>0</v>
      </c>
      <c r="H107">
        <f>COUNTIFS(BD_CANDIDATOS!H:H,B107,BD_CANDIDATOS!K:K,A107,BD_CANDIDATOS!O:O,"SI")</f>
        <v>0</v>
      </c>
      <c r="I107" s="12">
        <f t="shared" si="3"/>
        <v>0</v>
      </c>
    </row>
    <row r="108" spans="3:9">
      <c r="C108" t="str">
        <f ca="1">IFERROR(_xludf.XLOOKUP(B108,BD_VACANTES!A:A,BD_VACANTES!C:C,""),"")</f>
        <v/>
      </c>
      <c r="D108" t="str">
        <f ca="1">IFERROR(_xludf.XLOOKUP(B108,BD_VACANTES!A:A,BD_VACANTES!E:E,""),"")</f>
        <v/>
      </c>
      <c r="E108" s="4"/>
      <c r="F108">
        <f>COUNTIFS(BD_CANDIDATOS!H:H,B108,BD_CANDIDATOS!K:K,A108)</f>
        <v>0</v>
      </c>
      <c r="G108">
        <f>COUNTIFS(BD_CANDIDATOS!H:H,B108,BD_CANDIDATOS!K:K,A108,BD_CANDIDATOS!N:N,"SI")</f>
        <v>0</v>
      </c>
      <c r="H108">
        <f>COUNTIFS(BD_CANDIDATOS!H:H,B108,BD_CANDIDATOS!K:K,A108,BD_CANDIDATOS!O:O,"SI")</f>
        <v>0</v>
      </c>
      <c r="I108" s="12">
        <f t="shared" si="3"/>
        <v>0</v>
      </c>
    </row>
    <row r="109" spans="3:9">
      <c r="C109" t="str">
        <f ca="1">IFERROR(_xludf.XLOOKUP(B109,BD_VACANTES!A:A,BD_VACANTES!C:C,""),"")</f>
        <v/>
      </c>
      <c r="D109" t="str">
        <f ca="1">IFERROR(_xludf.XLOOKUP(B109,BD_VACANTES!A:A,BD_VACANTES!E:E,""),"")</f>
        <v/>
      </c>
      <c r="E109" s="4"/>
      <c r="F109">
        <f>COUNTIFS(BD_CANDIDATOS!H:H,B109,BD_CANDIDATOS!K:K,A109)</f>
        <v>0</v>
      </c>
      <c r="G109">
        <f>COUNTIFS(BD_CANDIDATOS!H:H,B109,BD_CANDIDATOS!K:K,A109,BD_CANDIDATOS!N:N,"SI")</f>
        <v>0</v>
      </c>
      <c r="H109">
        <f>COUNTIFS(BD_CANDIDATOS!H:H,B109,BD_CANDIDATOS!K:K,A109,BD_CANDIDATOS!O:O,"SI")</f>
        <v>0</v>
      </c>
      <c r="I109" s="12">
        <f t="shared" si="3"/>
        <v>0</v>
      </c>
    </row>
    <row r="110" spans="3:9">
      <c r="C110" t="str">
        <f ca="1">IFERROR(_xludf.XLOOKUP(B110,BD_VACANTES!A:A,BD_VACANTES!C:C,""),"")</f>
        <v/>
      </c>
      <c r="D110" t="str">
        <f ca="1">IFERROR(_xludf.XLOOKUP(B110,BD_VACANTES!A:A,BD_VACANTES!E:E,""),"")</f>
        <v/>
      </c>
      <c r="E110" s="4"/>
      <c r="F110">
        <f>COUNTIFS(BD_CANDIDATOS!H:H,B110,BD_CANDIDATOS!K:K,A110)</f>
        <v>0</v>
      </c>
      <c r="G110">
        <f>COUNTIFS(BD_CANDIDATOS!H:H,B110,BD_CANDIDATOS!K:K,A110,BD_CANDIDATOS!N:N,"SI")</f>
        <v>0</v>
      </c>
      <c r="H110">
        <f>COUNTIFS(BD_CANDIDATOS!H:H,B110,BD_CANDIDATOS!K:K,A110,BD_CANDIDATOS!O:O,"SI")</f>
        <v>0</v>
      </c>
      <c r="I110" s="12">
        <f t="shared" si="3"/>
        <v>0</v>
      </c>
    </row>
    <row r="111" spans="3:9">
      <c r="C111" t="str">
        <f ca="1">IFERROR(_xludf.XLOOKUP(B111,BD_VACANTES!A:A,BD_VACANTES!C:C,""),"")</f>
        <v/>
      </c>
      <c r="D111" t="str">
        <f ca="1">IFERROR(_xludf.XLOOKUP(B111,BD_VACANTES!A:A,BD_VACANTES!E:E,""),"")</f>
        <v/>
      </c>
      <c r="E111" s="4"/>
      <c r="F111">
        <f>COUNTIFS(BD_CANDIDATOS!H:H,B111,BD_CANDIDATOS!K:K,A111)</f>
        <v>0</v>
      </c>
      <c r="G111">
        <f>COUNTIFS(BD_CANDIDATOS!H:H,B111,BD_CANDIDATOS!K:K,A111,BD_CANDIDATOS!N:N,"SI")</f>
        <v>0</v>
      </c>
      <c r="H111">
        <f>COUNTIFS(BD_CANDIDATOS!H:H,B111,BD_CANDIDATOS!K:K,A111,BD_CANDIDATOS!O:O,"SI")</f>
        <v>0</v>
      </c>
      <c r="I111" s="12">
        <f t="shared" si="3"/>
        <v>0</v>
      </c>
    </row>
    <row r="112" spans="3:9">
      <c r="C112" t="str">
        <f ca="1">IFERROR(_xludf.XLOOKUP(B112,BD_VACANTES!A:A,BD_VACANTES!C:C,""),"")</f>
        <v/>
      </c>
      <c r="D112" t="str">
        <f ca="1">IFERROR(_xludf.XLOOKUP(B112,BD_VACANTES!A:A,BD_VACANTES!E:E,""),"")</f>
        <v/>
      </c>
      <c r="E112" s="4"/>
      <c r="F112">
        <f>COUNTIFS(BD_CANDIDATOS!H:H,B112,BD_CANDIDATOS!K:K,A112)</f>
        <v>0</v>
      </c>
      <c r="G112">
        <f>COUNTIFS(BD_CANDIDATOS!H:H,B112,BD_CANDIDATOS!K:K,A112,BD_CANDIDATOS!N:N,"SI")</f>
        <v>0</v>
      </c>
      <c r="H112">
        <f>COUNTIFS(BD_CANDIDATOS!H:H,B112,BD_CANDIDATOS!K:K,A112,BD_CANDIDATOS!O:O,"SI")</f>
        <v>0</v>
      </c>
      <c r="I112" s="12">
        <f t="shared" si="3"/>
        <v>0</v>
      </c>
    </row>
    <row r="113" spans="3:9">
      <c r="C113" t="str">
        <f ca="1">IFERROR(_xludf.XLOOKUP(B113,BD_VACANTES!A:A,BD_VACANTES!C:C,""),"")</f>
        <v/>
      </c>
      <c r="D113" t="str">
        <f ca="1">IFERROR(_xludf.XLOOKUP(B113,BD_VACANTES!A:A,BD_VACANTES!E:E,""),"")</f>
        <v/>
      </c>
      <c r="E113" s="4"/>
      <c r="F113">
        <f>COUNTIFS(BD_CANDIDATOS!H:H,B113,BD_CANDIDATOS!K:K,A113)</f>
        <v>0</v>
      </c>
      <c r="G113">
        <f>COUNTIFS(BD_CANDIDATOS!H:H,B113,BD_CANDIDATOS!K:K,A113,BD_CANDIDATOS!N:N,"SI")</f>
        <v>0</v>
      </c>
      <c r="H113">
        <f>COUNTIFS(BD_CANDIDATOS!H:H,B113,BD_CANDIDATOS!K:K,A113,BD_CANDIDATOS!O:O,"SI")</f>
        <v>0</v>
      </c>
      <c r="I113" s="12">
        <f t="shared" si="3"/>
        <v>0</v>
      </c>
    </row>
    <row r="114" spans="3:9">
      <c r="C114" t="str">
        <f ca="1">IFERROR(_xludf.XLOOKUP(B114,BD_VACANTES!A:A,BD_VACANTES!C:C,""),"")</f>
        <v/>
      </c>
      <c r="D114" t="str">
        <f ca="1">IFERROR(_xludf.XLOOKUP(B114,BD_VACANTES!A:A,BD_VACANTES!E:E,""),"")</f>
        <v/>
      </c>
      <c r="E114" s="4"/>
      <c r="F114">
        <f>COUNTIFS(BD_CANDIDATOS!H:H,B114,BD_CANDIDATOS!K:K,A114)</f>
        <v>0</v>
      </c>
      <c r="G114">
        <f>COUNTIFS(BD_CANDIDATOS!H:H,B114,BD_CANDIDATOS!K:K,A114,BD_CANDIDATOS!N:N,"SI")</f>
        <v>0</v>
      </c>
      <c r="H114">
        <f>COUNTIFS(BD_CANDIDATOS!H:H,B114,BD_CANDIDATOS!K:K,A114,BD_CANDIDATOS!O:O,"SI")</f>
        <v>0</v>
      </c>
      <c r="I114" s="12">
        <f t="shared" si="3"/>
        <v>0</v>
      </c>
    </row>
    <row r="115" spans="3:9">
      <c r="C115" t="str">
        <f ca="1">IFERROR(_xludf.XLOOKUP(B115,BD_VACANTES!A:A,BD_VACANTES!C:C,""),"")</f>
        <v/>
      </c>
      <c r="D115" t="str">
        <f ca="1">IFERROR(_xludf.XLOOKUP(B115,BD_VACANTES!A:A,BD_VACANTES!E:E,""),"")</f>
        <v/>
      </c>
      <c r="E115" s="4"/>
      <c r="F115">
        <f>COUNTIFS(BD_CANDIDATOS!H:H,B115,BD_CANDIDATOS!K:K,A115)</f>
        <v>0</v>
      </c>
      <c r="G115">
        <f>COUNTIFS(BD_CANDIDATOS!H:H,B115,BD_CANDIDATOS!K:K,A115,BD_CANDIDATOS!N:N,"SI")</f>
        <v>0</v>
      </c>
      <c r="H115">
        <f>COUNTIFS(BD_CANDIDATOS!H:H,B115,BD_CANDIDATOS!K:K,A115,BD_CANDIDATOS!O:O,"SI")</f>
        <v>0</v>
      </c>
      <c r="I115" s="12">
        <f t="shared" si="3"/>
        <v>0</v>
      </c>
    </row>
    <row r="116" spans="3:9">
      <c r="C116" t="str">
        <f ca="1">IFERROR(_xludf.XLOOKUP(B116,BD_VACANTES!A:A,BD_VACANTES!C:C,""),"")</f>
        <v/>
      </c>
      <c r="D116" t="str">
        <f ca="1">IFERROR(_xludf.XLOOKUP(B116,BD_VACANTES!A:A,BD_VACANTES!E:E,""),"")</f>
        <v/>
      </c>
      <c r="E116" s="4"/>
      <c r="F116">
        <f>COUNTIFS(BD_CANDIDATOS!H:H,B116,BD_CANDIDATOS!K:K,A116)</f>
        <v>0</v>
      </c>
      <c r="G116">
        <f>COUNTIFS(BD_CANDIDATOS!H:H,B116,BD_CANDIDATOS!K:K,A116,BD_CANDIDATOS!N:N,"SI")</f>
        <v>0</v>
      </c>
      <c r="H116">
        <f>COUNTIFS(BD_CANDIDATOS!H:H,B116,BD_CANDIDATOS!K:K,A116,BD_CANDIDATOS!O:O,"SI")</f>
        <v>0</v>
      </c>
      <c r="I116" s="12">
        <f t="shared" si="3"/>
        <v>0</v>
      </c>
    </row>
    <row r="117" spans="3:9">
      <c r="C117" t="str">
        <f ca="1">IFERROR(_xludf.XLOOKUP(B117,BD_VACANTES!A:A,BD_VACANTES!C:C,""),"")</f>
        <v/>
      </c>
      <c r="D117" t="str">
        <f ca="1">IFERROR(_xludf.XLOOKUP(B117,BD_VACANTES!A:A,BD_VACANTES!E:E,""),"")</f>
        <v/>
      </c>
      <c r="E117" s="4"/>
      <c r="F117">
        <f>COUNTIFS(BD_CANDIDATOS!H:H,B117,BD_CANDIDATOS!K:K,A117)</f>
        <v>0</v>
      </c>
      <c r="G117">
        <f>COUNTIFS(BD_CANDIDATOS!H:H,B117,BD_CANDIDATOS!K:K,A117,BD_CANDIDATOS!N:N,"SI")</f>
        <v>0</v>
      </c>
      <c r="H117">
        <f>COUNTIFS(BD_CANDIDATOS!H:H,B117,BD_CANDIDATOS!K:K,A117,BD_CANDIDATOS!O:O,"SI")</f>
        <v>0</v>
      </c>
      <c r="I117" s="12">
        <f t="shared" si="3"/>
        <v>0</v>
      </c>
    </row>
    <row r="118" spans="3:9">
      <c r="C118" t="str">
        <f ca="1">IFERROR(_xludf.XLOOKUP(B118,BD_VACANTES!A:A,BD_VACANTES!C:C,""),"")</f>
        <v/>
      </c>
      <c r="D118" t="str">
        <f ca="1">IFERROR(_xludf.XLOOKUP(B118,BD_VACANTES!A:A,BD_VACANTES!E:E,""),"")</f>
        <v/>
      </c>
      <c r="E118" s="4"/>
      <c r="F118">
        <f>COUNTIFS(BD_CANDIDATOS!H:H,B118,BD_CANDIDATOS!K:K,A118)</f>
        <v>0</v>
      </c>
      <c r="G118">
        <f>COUNTIFS(BD_CANDIDATOS!H:H,B118,BD_CANDIDATOS!K:K,A118,BD_CANDIDATOS!N:N,"SI")</f>
        <v>0</v>
      </c>
      <c r="H118">
        <f>COUNTIFS(BD_CANDIDATOS!H:H,B118,BD_CANDIDATOS!K:K,A118,BD_CANDIDATOS!O:O,"SI")</f>
        <v>0</v>
      </c>
      <c r="I118" s="12">
        <f t="shared" si="3"/>
        <v>0</v>
      </c>
    </row>
    <row r="119" spans="3:9">
      <c r="C119" t="str">
        <f ca="1">IFERROR(_xludf.XLOOKUP(B119,BD_VACANTES!A:A,BD_VACANTES!C:C,""),"")</f>
        <v/>
      </c>
      <c r="D119" t="str">
        <f ca="1">IFERROR(_xludf.XLOOKUP(B119,BD_VACANTES!A:A,BD_VACANTES!E:E,""),"")</f>
        <v/>
      </c>
      <c r="E119" s="4"/>
      <c r="F119">
        <f>COUNTIFS(BD_CANDIDATOS!H:H,B119,BD_CANDIDATOS!K:K,A119)</f>
        <v>0</v>
      </c>
      <c r="G119">
        <f>COUNTIFS(BD_CANDIDATOS!H:H,B119,BD_CANDIDATOS!K:K,A119,BD_CANDIDATOS!N:N,"SI")</f>
        <v>0</v>
      </c>
      <c r="H119">
        <f>COUNTIFS(BD_CANDIDATOS!H:H,B119,BD_CANDIDATOS!K:K,A119,BD_CANDIDATOS!O:O,"SI")</f>
        <v>0</v>
      </c>
      <c r="I119" s="12">
        <f t="shared" si="3"/>
        <v>0</v>
      </c>
    </row>
    <row r="120" spans="3:9">
      <c r="C120" t="str">
        <f ca="1">IFERROR(_xludf.XLOOKUP(B120,BD_VACANTES!A:A,BD_VACANTES!C:C,""),"")</f>
        <v/>
      </c>
      <c r="D120" t="str">
        <f ca="1">IFERROR(_xludf.XLOOKUP(B120,BD_VACANTES!A:A,BD_VACANTES!E:E,""),"")</f>
        <v/>
      </c>
      <c r="E120" s="4"/>
      <c r="F120">
        <f>COUNTIFS(BD_CANDIDATOS!H:H,B120,BD_CANDIDATOS!K:K,A120)</f>
        <v>0</v>
      </c>
      <c r="G120">
        <f>COUNTIFS(BD_CANDIDATOS!H:H,B120,BD_CANDIDATOS!K:K,A120,BD_CANDIDATOS!N:N,"SI")</f>
        <v>0</v>
      </c>
      <c r="H120">
        <f>COUNTIFS(BD_CANDIDATOS!H:H,B120,BD_CANDIDATOS!K:K,A120,BD_CANDIDATOS!O:O,"SI")</f>
        <v>0</v>
      </c>
      <c r="I120" s="12">
        <f t="shared" si="3"/>
        <v>0</v>
      </c>
    </row>
    <row r="121" spans="3:9">
      <c r="C121" t="str">
        <f ca="1">IFERROR(_xludf.XLOOKUP(B121,BD_VACANTES!A:A,BD_VACANTES!C:C,""),"")</f>
        <v/>
      </c>
      <c r="D121" t="str">
        <f ca="1">IFERROR(_xludf.XLOOKUP(B121,BD_VACANTES!A:A,BD_VACANTES!E:E,""),"")</f>
        <v/>
      </c>
      <c r="E121" s="4"/>
      <c r="F121">
        <f>COUNTIFS(BD_CANDIDATOS!H:H,B121,BD_CANDIDATOS!K:K,A121)</f>
        <v>0</v>
      </c>
      <c r="G121">
        <f>COUNTIFS(BD_CANDIDATOS!H:H,B121,BD_CANDIDATOS!K:K,A121,BD_CANDIDATOS!N:N,"SI")</f>
        <v>0</v>
      </c>
      <c r="H121">
        <f>COUNTIFS(BD_CANDIDATOS!H:H,B121,BD_CANDIDATOS!K:K,A121,BD_CANDIDATOS!O:O,"SI")</f>
        <v>0</v>
      </c>
      <c r="I121" s="12">
        <f t="shared" si="3"/>
        <v>0</v>
      </c>
    </row>
    <row r="122" spans="3:9">
      <c r="C122" t="str">
        <f ca="1">IFERROR(_xludf.XLOOKUP(B122,BD_VACANTES!A:A,BD_VACANTES!C:C,""),"")</f>
        <v/>
      </c>
      <c r="D122" t="str">
        <f ca="1">IFERROR(_xludf.XLOOKUP(B122,BD_VACANTES!A:A,BD_VACANTES!E:E,""),"")</f>
        <v/>
      </c>
      <c r="E122" s="4"/>
      <c r="F122">
        <f>COUNTIFS(BD_CANDIDATOS!H:H,B122,BD_CANDIDATOS!K:K,A122)</f>
        <v>0</v>
      </c>
      <c r="G122">
        <f>COUNTIFS(BD_CANDIDATOS!H:H,B122,BD_CANDIDATOS!K:K,A122,BD_CANDIDATOS!N:N,"SI")</f>
        <v>0</v>
      </c>
      <c r="H122">
        <f>COUNTIFS(BD_CANDIDATOS!H:H,B122,BD_CANDIDATOS!K:K,A122,BD_CANDIDATOS!O:O,"SI")</f>
        <v>0</v>
      </c>
      <c r="I122" s="12">
        <f t="shared" si="3"/>
        <v>0</v>
      </c>
    </row>
    <row r="123" spans="3:9">
      <c r="C123" t="str">
        <f ca="1">IFERROR(_xludf.XLOOKUP(B123,BD_VACANTES!A:A,BD_VACANTES!C:C,""),"")</f>
        <v/>
      </c>
      <c r="D123" t="str">
        <f ca="1">IFERROR(_xludf.XLOOKUP(B123,BD_VACANTES!A:A,BD_VACANTES!E:E,""),"")</f>
        <v/>
      </c>
      <c r="E123" s="4"/>
      <c r="F123">
        <f>COUNTIFS(BD_CANDIDATOS!H:H,B123,BD_CANDIDATOS!K:K,A123)</f>
        <v>0</v>
      </c>
      <c r="G123">
        <f>COUNTIFS(BD_CANDIDATOS!H:H,B123,BD_CANDIDATOS!K:K,A123,BD_CANDIDATOS!N:N,"SI")</f>
        <v>0</v>
      </c>
      <c r="H123">
        <f>COUNTIFS(BD_CANDIDATOS!H:H,B123,BD_CANDIDATOS!K:K,A123,BD_CANDIDATOS!O:O,"SI")</f>
        <v>0</v>
      </c>
      <c r="I123" s="12">
        <f t="shared" si="3"/>
        <v>0</v>
      </c>
    </row>
    <row r="124" spans="3:9">
      <c r="C124" t="str">
        <f ca="1">IFERROR(_xludf.XLOOKUP(B124,BD_VACANTES!A:A,BD_VACANTES!C:C,""),"")</f>
        <v/>
      </c>
      <c r="D124" t="str">
        <f ca="1">IFERROR(_xludf.XLOOKUP(B124,BD_VACANTES!A:A,BD_VACANTES!E:E,""),"")</f>
        <v/>
      </c>
      <c r="E124" s="4"/>
      <c r="F124">
        <f>COUNTIFS(BD_CANDIDATOS!H:H,B124,BD_CANDIDATOS!K:K,A124)</f>
        <v>0</v>
      </c>
      <c r="G124">
        <f>COUNTIFS(BD_CANDIDATOS!H:H,B124,BD_CANDIDATOS!K:K,A124,BD_CANDIDATOS!N:N,"SI")</f>
        <v>0</v>
      </c>
      <c r="H124">
        <f>COUNTIFS(BD_CANDIDATOS!H:H,B124,BD_CANDIDATOS!K:K,A124,BD_CANDIDATOS!O:O,"SI")</f>
        <v>0</v>
      </c>
      <c r="I124" s="12">
        <f t="shared" si="3"/>
        <v>0</v>
      </c>
    </row>
    <row r="125" spans="3:9">
      <c r="C125" t="str">
        <f ca="1">IFERROR(_xludf.XLOOKUP(B125,BD_VACANTES!A:A,BD_VACANTES!C:C,""),"")</f>
        <v/>
      </c>
      <c r="D125" t="str">
        <f ca="1">IFERROR(_xludf.XLOOKUP(B125,BD_VACANTES!A:A,BD_VACANTES!E:E,""),"")</f>
        <v/>
      </c>
      <c r="E125" s="4"/>
      <c r="F125">
        <f>COUNTIFS(BD_CANDIDATOS!H:H,B125,BD_CANDIDATOS!K:K,A125)</f>
        <v>0</v>
      </c>
      <c r="G125">
        <f>COUNTIFS(BD_CANDIDATOS!H:H,B125,BD_CANDIDATOS!K:K,A125,BD_CANDIDATOS!N:N,"SI")</f>
        <v>0</v>
      </c>
      <c r="H125">
        <f>COUNTIFS(BD_CANDIDATOS!H:H,B125,BD_CANDIDATOS!K:K,A125,BD_CANDIDATOS!O:O,"SI")</f>
        <v>0</v>
      </c>
      <c r="I125" s="12">
        <f t="shared" si="3"/>
        <v>0</v>
      </c>
    </row>
    <row r="126" spans="3:9">
      <c r="C126" t="str">
        <f ca="1">IFERROR(_xludf.XLOOKUP(B126,BD_VACANTES!A:A,BD_VACANTES!C:C,""),"")</f>
        <v/>
      </c>
      <c r="D126" t="str">
        <f ca="1">IFERROR(_xludf.XLOOKUP(B126,BD_VACANTES!A:A,BD_VACANTES!E:E,""),"")</f>
        <v/>
      </c>
      <c r="E126" s="4"/>
      <c r="F126">
        <f>COUNTIFS(BD_CANDIDATOS!H:H,B126,BD_CANDIDATOS!K:K,A126)</f>
        <v>0</v>
      </c>
      <c r="G126">
        <f>COUNTIFS(BD_CANDIDATOS!H:H,B126,BD_CANDIDATOS!K:K,A126,BD_CANDIDATOS!N:N,"SI")</f>
        <v>0</v>
      </c>
      <c r="H126">
        <f>COUNTIFS(BD_CANDIDATOS!H:H,B126,BD_CANDIDATOS!K:K,A126,BD_CANDIDATOS!O:O,"SI")</f>
        <v>0</v>
      </c>
      <c r="I126" s="12">
        <f t="shared" si="3"/>
        <v>0</v>
      </c>
    </row>
    <row r="127" spans="3:9">
      <c r="C127" t="str">
        <f ca="1">IFERROR(_xludf.XLOOKUP(B127,BD_VACANTES!A:A,BD_VACANTES!C:C,""),"")</f>
        <v/>
      </c>
      <c r="D127" t="str">
        <f ca="1">IFERROR(_xludf.XLOOKUP(B127,BD_VACANTES!A:A,BD_VACANTES!E:E,""),"")</f>
        <v/>
      </c>
      <c r="E127" s="4"/>
      <c r="F127">
        <f>COUNTIFS(BD_CANDIDATOS!H:H,B127,BD_CANDIDATOS!K:K,A127)</f>
        <v>0</v>
      </c>
      <c r="G127">
        <f>COUNTIFS(BD_CANDIDATOS!H:H,B127,BD_CANDIDATOS!K:K,A127,BD_CANDIDATOS!N:N,"SI")</f>
        <v>0</v>
      </c>
      <c r="H127">
        <f>COUNTIFS(BD_CANDIDATOS!H:H,B127,BD_CANDIDATOS!K:K,A127,BD_CANDIDATOS!O:O,"SI")</f>
        <v>0</v>
      </c>
      <c r="I127" s="12">
        <f t="shared" si="3"/>
        <v>0</v>
      </c>
    </row>
    <row r="128" spans="3:9">
      <c r="C128" t="str">
        <f ca="1">IFERROR(_xludf.XLOOKUP(B128,BD_VACANTES!A:A,BD_VACANTES!C:C,""),"")</f>
        <v/>
      </c>
      <c r="D128" t="str">
        <f ca="1">IFERROR(_xludf.XLOOKUP(B128,BD_VACANTES!A:A,BD_VACANTES!E:E,""),"")</f>
        <v/>
      </c>
      <c r="E128" s="4"/>
      <c r="F128">
        <f>COUNTIFS(BD_CANDIDATOS!H:H,B128,BD_CANDIDATOS!K:K,A128)</f>
        <v>0</v>
      </c>
      <c r="G128">
        <f>COUNTIFS(BD_CANDIDATOS!H:H,B128,BD_CANDIDATOS!K:K,A128,BD_CANDIDATOS!N:N,"SI")</f>
        <v>0</v>
      </c>
      <c r="H128">
        <f>COUNTIFS(BD_CANDIDATOS!H:H,B128,BD_CANDIDATOS!K:K,A128,BD_CANDIDATOS!O:O,"SI")</f>
        <v>0</v>
      </c>
      <c r="I128" s="12">
        <f t="shared" si="3"/>
        <v>0</v>
      </c>
    </row>
    <row r="129" spans="3:9">
      <c r="C129" t="str">
        <f ca="1">IFERROR(_xludf.XLOOKUP(B129,BD_VACANTES!A:A,BD_VACANTES!C:C,""),"")</f>
        <v/>
      </c>
      <c r="D129" t="str">
        <f ca="1">IFERROR(_xludf.XLOOKUP(B129,BD_VACANTES!A:A,BD_VACANTES!E:E,""),"")</f>
        <v/>
      </c>
      <c r="E129" s="4"/>
      <c r="F129">
        <f>COUNTIFS(BD_CANDIDATOS!H:H,B129,BD_CANDIDATOS!K:K,A129)</f>
        <v>0</v>
      </c>
      <c r="G129">
        <f>COUNTIFS(BD_CANDIDATOS!H:H,B129,BD_CANDIDATOS!K:K,A129,BD_CANDIDATOS!N:N,"SI")</f>
        <v>0</v>
      </c>
      <c r="H129">
        <f>COUNTIFS(BD_CANDIDATOS!H:H,B129,BD_CANDIDATOS!K:K,A129,BD_CANDIDATOS!O:O,"SI")</f>
        <v>0</v>
      </c>
      <c r="I129" s="12">
        <f t="shared" si="3"/>
        <v>0</v>
      </c>
    </row>
    <row r="130" spans="3:9">
      <c r="C130" t="str">
        <f ca="1">IFERROR(_xludf.XLOOKUP(B130,BD_VACANTES!A:A,BD_VACANTES!C:C,""),"")</f>
        <v/>
      </c>
      <c r="D130" t="str">
        <f ca="1">IFERROR(_xludf.XLOOKUP(B130,BD_VACANTES!A:A,BD_VACANTES!E:E,""),"")</f>
        <v/>
      </c>
      <c r="E130" s="4"/>
      <c r="F130">
        <f>COUNTIFS(BD_CANDIDATOS!H:H,B130,BD_CANDIDATOS!K:K,A130)</f>
        <v>0</v>
      </c>
      <c r="G130">
        <f>COUNTIFS(BD_CANDIDATOS!H:H,B130,BD_CANDIDATOS!K:K,A130,BD_CANDIDATOS!N:N,"SI")</f>
        <v>0</v>
      </c>
      <c r="H130">
        <f>COUNTIFS(BD_CANDIDATOS!H:H,B130,BD_CANDIDATOS!K:K,A130,BD_CANDIDATOS!O:O,"SI")</f>
        <v>0</v>
      </c>
      <c r="I130" s="12">
        <f t="shared" ref="I130:I161" si="4">IFERROR(H130/F130,0)</f>
        <v>0</v>
      </c>
    </row>
    <row r="131" spans="3:9">
      <c r="C131" t="str">
        <f ca="1">IFERROR(_xludf.XLOOKUP(B131,BD_VACANTES!A:A,BD_VACANTES!C:C,""),"")</f>
        <v/>
      </c>
      <c r="D131" t="str">
        <f ca="1">IFERROR(_xludf.XLOOKUP(B131,BD_VACANTES!A:A,BD_VACANTES!E:E,""),"")</f>
        <v/>
      </c>
      <c r="E131" s="4"/>
      <c r="F131">
        <f>COUNTIFS(BD_CANDIDATOS!H:H,B131,BD_CANDIDATOS!K:K,A131)</f>
        <v>0</v>
      </c>
      <c r="G131">
        <f>COUNTIFS(BD_CANDIDATOS!H:H,B131,BD_CANDIDATOS!K:K,A131,BD_CANDIDATOS!N:N,"SI")</f>
        <v>0</v>
      </c>
      <c r="H131">
        <f>COUNTIFS(BD_CANDIDATOS!H:H,B131,BD_CANDIDATOS!K:K,A131,BD_CANDIDATOS!O:O,"SI")</f>
        <v>0</v>
      </c>
      <c r="I131" s="12">
        <f t="shared" si="4"/>
        <v>0</v>
      </c>
    </row>
    <row r="132" spans="3:9">
      <c r="C132" t="str">
        <f ca="1">IFERROR(_xludf.XLOOKUP(B132,BD_VACANTES!A:A,BD_VACANTES!C:C,""),"")</f>
        <v/>
      </c>
      <c r="D132" t="str">
        <f ca="1">IFERROR(_xludf.XLOOKUP(B132,BD_VACANTES!A:A,BD_VACANTES!E:E,""),"")</f>
        <v/>
      </c>
      <c r="E132" s="4"/>
      <c r="F132">
        <f>COUNTIFS(BD_CANDIDATOS!H:H,B132,BD_CANDIDATOS!K:K,A132)</f>
        <v>0</v>
      </c>
      <c r="G132">
        <f>COUNTIFS(BD_CANDIDATOS!H:H,B132,BD_CANDIDATOS!K:K,A132,BD_CANDIDATOS!N:N,"SI")</f>
        <v>0</v>
      </c>
      <c r="H132">
        <f>COUNTIFS(BD_CANDIDATOS!H:H,B132,BD_CANDIDATOS!K:K,A132,BD_CANDIDATOS!O:O,"SI")</f>
        <v>0</v>
      </c>
      <c r="I132" s="12">
        <f t="shared" si="4"/>
        <v>0</v>
      </c>
    </row>
    <row r="133" spans="3:9">
      <c r="C133" t="str">
        <f ca="1">IFERROR(_xludf.XLOOKUP(B133,BD_VACANTES!A:A,BD_VACANTES!C:C,""),"")</f>
        <v/>
      </c>
      <c r="D133" t="str">
        <f ca="1">IFERROR(_xludf.XLOOKUP(B133,BD_VACANTES!A:A,BD_VACANTES!E:E,""),"")</f>
        <v/>
      </c>
      <c r="E133" s="4"/>
      <c r="F133">
        <f>COUNTIFS(BD_CANDIDATOS!H:H,B133,BD_CANDIDATOS!K:K,A133)</f>
        <v>0</v>
      </c>
      <c r="G133">
        <f>COUNTIFS(BD_CANDIDATOS!H:H,B133,BD_CANDIDATOS!K:K,A133,BD_CANDIDATOS!N:N,"SI")</f>
        <v>0</v>
      </c>
      <c r="H133">
        <f>COUNTIFS(BD_CANDIDATOS!H:H,B133,BD_CANDIDATOS!K:K,A133,BD_CANDIDATOS!O:O,"SI")</f>
        <v>0</v>
      </c>
      <c r="I133" s="12">
        <f t="shared" si="4"/>
        <v>0</v>
      </c>
    </row>
    <row r="134" spans="3:9">
      <c r="C134" t="str">
        <f ca="1">IFERROR(_xludf.XLOOKUP(B134,BD_VACANTES!A:A,BD_VACANTES!C:C,""),"")</f>
        <v/>
      </c>
      <c r="D134" t="str">
        <f ca="1">IFERROR(_xludf.XLOOKUP(B134,BD_VACANTES!A:A,BD_VACANTES!E:E,""),"")</f>
        <v/>
      </c>
      <c r="E134" s="4"/>
      <c r="F134">
        <f>COUNTIFS(BD_CANDIDATOS!H:H,B134,BD_CANDIDATOS!K:K,A134)</f>
        <v>0</v>
      </c>
      <c r="G134">
        <f>COUNTIFS(BD_CANDIDATOS!H:H,B134,BD_CANDIDATOS!K:K,A134,BD_CANDIDATOS!N:N,"SI")</f>
        <v>0</v>
      </c>
      <c r="H134">
        <f>COUNTIFS(BD_CANDIDATOS!H:H,B134,BD_CANDIDATOS!K:K,A134,BD_CANDIDATOS!O:O,"SI")</f>
        <v>0</v>
      </c>
      <c r="I134" s="12">
        <f t="shared" si="4"/>
        <v>0</v>
      </c>
    </row>
    <row r="135" spans="3:9">
      <c r="C135" t="str">
        <f ca="1">IFERROR(_xludf.XLOOKUP(B135,BD_VACANTES!A:A,BD_VACANTES!C:C,""),"")</f>
        <v/>
      </c>
      <c r="D135" t="str">
        <f ca="1">IFERROR(_xludf.XLOOKUP(B135,BD_VACANTES!A:A,BD_VACANTES!E:E,""),"")</f>
        <v/>
      </c>
      <c r="E135" s="4"/>
      <c r="F135">
        <f>COUNTIFS(BD_CANDIDATOS!H:H,B135,BD_CANDIDATOS!K:K,A135)</f>
        <v>0</v>
      </c>
      <c r="G135">
        <f>COUNTIFS(BD_CANDIDATOS!H:H,B135,BD_CANDIDATOS!K:K,A135,BD_CANDIDATOS!N:N,"SI")</f>
        <v>0</v>
      </c>
      <c r="H135">
        <f>COUNTIFS(BD_CANDIDATOS!H:H,B135,BD_CANDIDATOS!K:K,A135,BD_CANDIDATOS!O:O,"SI")</f>
        <v>0</v>
      </c>
      <c r="I135" s="12">
        <f t="shared" si="4"/>
        <v>0</v>
      </c>
    </row>
    <row r="136" spans="3:9">
      <c r="C136" t="str">
        <f ca="1">IFERROR(_xludf.XLOOKUP(B136,BD_VACANTES!A:A,BD_VACANTES!C:C,""),"")</f>
        <v/>
      </c>
      <c r="D136" t="str">
        <f ca="1">IFERROR(_xludf.XLOOKUP(B136,BD_VACANTES!A:A,BD_VACANTES!E:E,""),"")</f>
        <v/>
      </c>
      <c r="E136" s="4"/>
      <c r="F136">
        <f>COUNTIFS(BD_CANDIDATOS!H:H,B136,BD_CANDIDATOS!K:K,A136)</f>
        <v>0</v>
      </c>
      <c r="G136">
        <f>COUNTIFS(BD_CANDIDATOS!H:H,B136,BD_CANDIDATOS!K:K,A136,BD_CANDIDATOS!N:N,"SI")</f>
        <v>0</v>
      </c>
      <c r="H136">
        <f>COUNTIFS(BD_CANDIDATOS!H:H,B136,BD_CANDIDATOS!K:K,A136,BD_CANDIDATOS!O:O,"SI")</f>
        <v>0</v>
      </c>
      <c r="I136" s="12">
        <f t="shared" si="4"/>
        <v>0</v>
      </c>
    </row>
    <row r="137" spans="3:9">
      <c r="C137" t="str">
        <f ca="1">IFERROR(_xludf.XLOOKUP(B137,BD_VACANTES!A:A,BD_VACANTES!C:C,""),"")</f>
        <v/>
      </c>
      <c r="D137" t="str">
        <f ca="1">IFERROR(_xludf.XLOOKUP(B137,BD_VACANTES!A:A,BD_VACANTES!E:E,""),"")</f>
        <v/>
      </c>
      <c r="E137" s="4"/>
      <c r="F137">
        <f>COUNTIFS(BD_CANDIDATOS!H:H,B137,BD_CANDIDATOS!K:K,A137)</f>
        <v>0</v>
      </c>
      <c r="G137">
        <f>COUNTIFS(BD_CANDIDATOS!H:H,B137,BD_CANDIDATOS!K:K,A137,BD_CANDIDATOS!N:N,"SI")</f>
        <v>0</v>
      </c>
      <c r="H137">
        <f>COUNTIFS(BD_CANDIDATOS!H:H,B137,BD_CANDIDATOS!K:K,A137,BD_CANDIDATOS!O:O,"SI")</f>
        <v>0</v>
      </c>
      <c r="I137" s="12">
        <f t="shared" si="4"/>
        <v>0</v>
      </c>
    </row>
    <row r="138" spans="3:9">
      <c r="C138" t="str">
        <f ca="1">IFERROR(_xludf.XLOOKUP(B138,BD_VACANTES!A:A,BD_VACANTES!C:C,""),"")</f>
        <v/>
      </c>
      <c r="D138" t="str">
        <f ca="1">IFERROR(_xludf.XLOOKUP(B138,BD_VACANTES!A:A,BD_VACANTES!E:E,""),"")</f>
        <v/>
      </c>
      <c r="E138" s="4"/>
      <c r="F138">
        <f>COUNTIFS(BD_CANDIDATOS!H:H,B138,BD_CANDIDATOS!K:K,A138)</f>
        <v>0</v>
      </c>
      <c r="G138">
        <f>COUNTIFS(BD_CANDIDATOS!H:H,B138,BD_CANDIDATOS!K:K,A138,BD_CANDIDATOS!N:N,"SI")</f>
        <v>0</v>
      </c>
      <c r="H138">
        <f>COUNTIFS(BD_CANDIDATOS!H:H,B138,BD_CANDIDATOS!K:K,A138,BD_CANDIDATOS!O:O,"SI")</f>
        <v>0</v>
      </c>
      <c r="I138" s="12">
        <f t="shared" si="4"/>
        <v>0</v>
      </c>
    </row>
    <row r="139" spans="3:9">
      <c r="C139" t="str">
        <f ca="1">IFERROR(_xludf.XLOOKUP(B139,BD_VACANTES!A:A,BD_VACANTES!C:C,""),"")</f>
        <v/>
      </c>
      <c r="D139" t="str">
        <f ca="1">IFERROR(_xludf.XLOOKUP(B139,BD_VACANTES!A:A,BD_VACANTES!E:E,""),"")</f>
        <v/>
      </c>
      <c r="E139" s="4"/>
      <c r="F139">
        <f>COUNTIFS(BD_CANDIDATOS!H:H,B139,BD_CANDIDATOS!K:K,A139)</f>
        <v>0</v>
      </c>
      <c r="G139">
        <f>COUNTIFS(BD_CANDIDATOS!H:H,B139,BD_CANDIDATOS!K:K,A139,BD_CANDIDATOS!N:N,"SI")</f>
        <v>0</v>
      </c>
      <c r="H139">
        <f>COUNTIFS(BD_CANDIDATOS!H:H,B139,BD_CANDIDATOS!K:K,A139,BD_CANDIDATOS!O:O,"SI")</f>
        <v>0</v>
      </c>
      <c r="I139" s="12">
        <f t="shared" si="4"/>
        <v>0</v>
      </c>
    </row>
    <row r="140" spans="3:9">
      <c r="C140" t="str">
        <f ca="1">IFERROR(_xludf.XLOOKUP(B140,BD_VACANTES!A:A,BD_VACANTES!C:C,""),"")</f>
        <v/>
      </c>
      <c r="D140" t="str">
        <f ca="1">IFERROR(_xludf.XLOOKUP(B140,BD_VACANTES!A:A,BD_VACANTES!E:E,""),"")</f>
        <v/>
      </c>
      <c r="E140" s="4"/>
      <c r="F140">
        <f>COUNTIFS(BD_CANDIDATOS!H:H,B140,BD_CANDIDATOS!K:K,A140)</f>
        <v>0</v>
      </c>
      <c r="G140">
        <f>COUNTIFS(BD_CANDIDATOS!H:H,B140,BD_CANDIDATOS!K:K,A140,BD_CANDIDATOS!N:N,"SI")</f>
        <v>0</v>
      </c>
      <c r="H140">
        <f>COUNTIFS(BD_CANDIDATOS!H:H,B140,BD_CANDIDATOS!K:K,A140,BD_CANDIDATOS!O:O,"SI")</f>
        <v>0</v>
      </c>
      <c r="I140" s="12">
        <f t="shared" si="4"/>
        <v>0</v>
      </c>
    </row>
    <row r="141" spans="3:9">
      <c r="C141" t="str">
        <f ca="1">IFERROR(_xludf.XLOOKUP(B141,BD_VACANTES!A:A,BD_VACANTES!C:C,""),"")</f>
        <v/>
      </c>
      <c r="D141" t="str">
        <f ca="1">IFERROR(_xludf.XLOOKUP(B141,BD_VACANTES!A:A,BD_VACANTES!E:E,""),"")</f>
        <v/>
      </c>
      <c r="E141" s="4"/>
      <c r="F141">
        <f>COUNTIFS(BD_CANDIDATOS!H:H,B141,BD_CANDIDATOS!K:K,A141)</f>
        <v>0</v>
      </c>
      <c r="G141">
        <f>COUNTIFS(BD_CANDIDATOS!H:H,B141,BD_CANDIDATOS!K:K,A141,BD_CANDIDATOS!N:N,"SI")</f>
        <v>0</v>
      </c>
      <c r="H141">
        <f>COUNTIFS(BD_CANDIDATOS!H:H,B141,BD_CANDIDATOS!K:K,A141,BD_CANDIDATOS!O:O,"SI")</f>
        <v>0</v>
      </c>
      <c r="I141" s="12">
        <f t="shared" si="4"/>
        <v>0</v>
      </c>
    </row>
    <row r="142" spans="3:9">
      <c r="C142" t="str">
        <f ca="1">IFERROR(_xludf.XLOOKUP(B142,BD_VACANTES!A:A,BD_VACANTES!C:C,""),"")</f>
        <v/>
      </c>
      <c r="D142" t="str">
        <f ca="1">IFERROR(_xludf.XLOOKUP(B142,BD_VACANTES!A:A,BD_VACANTES!E:E,""),"")</f>
        <v/>
      </c>
      <c r="E142" s="4"/>
      <c r="F142">
        <f>COUNTIFS(BD_CANDIDATOS!H:H,B142,BD_CANDIDATOS!K:K,A142)</f>
        <v>0</v>
      </c>
      <c r="G142">
        <f>COUNTIFS(BD_CANDIDATOS!H:H,B142,BD_CANDIDATOS!K:K,A142,BD_CANDIDATOS!N:N,"SI")</f>
        <v>0</v>
      </c>
      <c r="H142">
        <f>COUNTIFS(BD_CANDIDATOS!H:H,B142,BD_CANDIDATOS!K:K,A142,BD_CANDIDATOS!O:O,"SI")</f>
        <v>0</v>
      </c>
      <c r="I142" s="12">
        <f t="shared" si="4"/>
        <v>0</v>
      </c>
    </row>
    <row r="143" spans="3:9">
      <c r="C143" t="str">
        <f ca="1">IFERROR(_xludf.XLOOKUP(B143,BD_VACANTES!A:A,BD_VACANTES!C:C,""),"")</f>
        <v/>
      </c>
      <c r="D143" t="str">
        <f ca="1">IFERROR(_xludf.XLOOKUP(B143,BD_VACANTES!A:A,BD_VACANTES!E:E,""),"")</f>
        <v/>
      </c>
      <c r="E143" s="4"/>
      <c r="F143">
        <f>COUNTIFS(BD_CANDIDATOS!H:H,B143,BD_CANDIDATOS!K:K,A143)</f>
        <v>0</v>
      </c>
      <c r="G143">
        <f>COUNTIFS(BD_CANDIDATOS!H:H,B143,BD_CANDIDATOS!K:K,A143,BD_CANDIDATOS!N:N,"SI")</f>
        <v>0</v>
      </c>
      <c r="H143">
        <f>COUNTIFS(BD_CANDIDATOS!H:H,B143,BD_CANDIDATOS!K:K,A143,BD_CANDIDATOS!O:O,"SI")</f>
        <v>0</v>
      </c>
      <c r="I143" s="12">
        <f t="shared" si="4"/>
        <v>0</v>
      </c>
    </row>
    <row r="144" spans="3:9">
      <c r="C144" t="str">
        <f ca="1">IFERROR(_xludf.XLOOKUP(B144,BD_VACANTES!A:A,BD_VACANTES!C:C,""),"")</f>
        <v/>
      </c>
      <c r="D144" t="str">
        <f ca="1">IFERROR(_xludf.XLOOKUP(B144,BD_VACANTES!A:A,BD_VACANTES!E:E,""),"")</f>
        <v/>
      </c>
      <c r="E144" s="4"/>
      <c r="F144">
        <f>COUNTIFS(BD_CANDIDATOS!H:H,B144,BD_CANDIDATOS!K:K,A144)</f>
        <v>0</v>
      </c>
      <c r="G144">
        <f>COUNTIFS(BD_CANDIDATOS!H:H,B144,BD_CANDIDATOS!K:K,A144,BD_CANDIDATOS!N:N,"SI")</f>
        <v>0</v>
      </c>
      <c r="H144">
        <f>COUNTIFS(BD_CANDIDATOS!H:H,B144,BD_CANDIDATOS!K:K,A144,BD_CANDIDATOS!O:O,"SI")</f>
        <v>0</v>
      </c>
      <c r="I144" s="12">
        <f t="shared" si="4"/>
        <v>0</v>
      </c>
    </row>
    <row r="145" spans="3:9">
      <c r="C145" t="str">
        <f ca="1">IFERROR(_xludf.XLOOKUP(B145,BD_VACANTES!A:A,BD_VACANTES!C:C,""),"")</f>
        <v/>
      </c>
      <c r="D145" t="str">
        <f ca="1">IFERROR(_xludf.XLOOKUP(B145,BD_VACANTES!A:A,BD_VACANTES!E:E,""),"")</f>
        <v/>
      </c>
      <c r="E145" s="4"/>
      <c r="F145">
        <f>COUNTIFS(BD_CANDIDATOS!H:H,B145,BD_CANDIDATOS!K:K,A145)</f>
        <v>0</v>
      </c>
      <c r="G145">
        <f>COUNTIFS(BD_CANDIDATOS!H:H,B145,BD_CANDIDATOS!K:K,A145,BD_CANDIDATOS!N:N,"SI")</f>
        <v>0</v>
      </c>
      <c r="H145">
        <f>COUNTIFS(BD_CANDIDATOS!H:H,B145,BD_CANDIDATOS!K:K,A145,BD_CANDIDATOS!O:O,"SI")</f>
        <v>0</v>
      </c>
      <c r="I145" s="12">
        <f t="shared" si="4"/>
        <v>0</v>
      </c>
    </row>
    <row r="146" spans="3:9">
      <c r="C146" t="str">
        <f ca="1">IFERROR(_xludf.XLOOKUP(B146,BD_VACANTES!A:A,BD_VACANTES!C:C,""),"")</f>
        <v/>
      </c>
      <c r="D146" t="str">
        <f ca="1">IFERROR(_xludf.XLOOKUP(B146,BD_VACANTES!A:A,BD_VACANTES!E:E,""),"")</f>
        <v/>
      </c>
      <c r="E146" s="4"/>
      <c r="F146">
        <f>COUNTIFS(BD_CANDIDATOS!H:H,B146,BD_CANDIDATOS!K:K,A146)</f>
        <v>0</v>
      </c>
      <c r="G146">
        <f>COUNTIFS(BD_CANDIDATOS!H:H,B146,BD_CANDIDATOS!K:K,A146,BD_CANDIDATOS!N:N,"SI")</f>
        <v>0</v>
      </c>
      <c r="H146">
        <f>COUNTIFS(BD_CANDIDATOS!H:H,B146,BD_CANDIDATOS!K:K,A146,BD_CANDIDATOS!O:O,"SI")</f>
        <v>0</v>
      </c>
      <c r="I146" s="12">
        <f t="shared" si="4"/>
        <v>0</v>
      </c>
    </row>
    <row r="147" spans="3:9">
      <c r="C147" t="str">
        <f ca="1">IFERROR(_xludf.XLOOKUP(B147,BD_VACANTES!A:A,BD_VACANTES!C:C,""),"")</f>
        <v/>
      </c>
      <c r="D147" t="str">
        <f ca="1">IFERROR(_xludf.XLOOKUP(B147,BD_VACANTES!A:A,BD_VACANTES!E:E,""),"")</f>
        <v/>
      </c>
      <c r="E147" s="4"/>
      <c r="F147">
        <f>COUNTIFS(BD_CANDIDATOS!H:H,B147,BD_CANDIDATOS!K:K,A147)</f>
        <v>0</v>
      </c>
      <c r="G147">
        <f>COUNTIFS(BD_CANDIDATOS!H:H,B147,BD_CANDIDATOS!K:K,A147,BD_CANDIDATOS!N:N,"SI")</f>
        <v>0</v>
      </c>
      <c r="H147">
        <f>COUNTIFS(BD_CANDIDATOS!H:H,B147,BD_CANDIDATOS!K:K,A147,BD_CANDIDATOS!O:O,"SI")</f>
        <v>0</v>
      </c>
      <c r="I147" s="12">
        <f t="shared" si="4"/>
        <v>0</v>
      </c>
    </row>
    <row r="148" spans="3:9">
      <c r="C148" t="str">
        <f ca="1">IFERROR(_xludf.XLOOKUP(B148,BD_VACANTES!A:A,BD_VACANTES!C:C,""),"")</f>
        <v/>
      </c>
      <c r="D148" t="str">
        <f ca="1">IFERROR(_xludf.XLOOKUP(B148,BD_VACANTES!A:A,BD_VACANTES!E:E,""),"")</f>
        <v/>
      </c>
      <c r="E148" s="4"/>
      <c r="F148">
        <f>COUNTIFS(BD_CANDIDATOS!H:H,B148,BD_CANDIDATOS!K:K,A148)</f>
        <v>0</v>
      </c>
      <c r="G148">
        <f>COUNTIFS(BD_CANDIDATOS!H:H,B148,BD_CANDIDATOS!K:K,A148,BD_CANDIDATOS!N:N,"SI")</f>
        <v>0</v>
      </c>
      <c r="H148">
        <f>COUNTIFS(BD_CANDIDATOS!H:H,B148,BD_CANDIDATOS!K:K,A148,BD_CANDIDATOS!O:O,"SI")</f>
        <v>0</v>
      </c>
      <c r="I148" s="12">
        <f t="shared" si="4"/>
        <v>0</v>
      </c>
    </row>
    <row r="149" spans="3:9">
      <c r="C149" t="str">
        <f ca="1">IFERROR(_xludf.XLOOKUP(B149,BD_VACANTES!A:A,BD_VACANTES!C:C,""),"")</f>
        <v/>
      </c>
      <c r="D149" t="str">
        <f ca="1">IFERROR(_xludf.XLOOKUP(B149,BD_VACANTES!A:A,BD_VACANTES!E:E,""),"")</f>
        <v/>
      </c>
      <c r="E149" s="4"/>
      <c r="F149">
        <f>COUNTIFS(BD_CANDIDATOS!H:H,B149,BD_CANDIDATOS!K:K,A149)</f>
        <v>0</v>
      </c>
      <c r="G149">
        <f>COUNTIFS(BD_CANDIDATOS!H:H,B149,BD_CANDIDATOS!K:K,A149,BD_CANDIDATOS!N:N,"SI")</f>
        <v>0</v>
      </c>
      <c r="H149">
        <f>COUNTIFS(BD_CANDIDATOS!H:H,B149,BD_CANDIDATOS!K:K,A149,BD_CANDIDATOS!O:O,"SI")</f>
        <v>0</v>
      </c>
      <c r="I149" s="12">
        <f t="shared" si="4"/>
        <v>0</v>
      </c>
    </row>
    <row r="150" spans="3:9">
      <c r="C150" t="str">
        <f ca="1">IFERROR(_xludf.XLOOKUP(B150,BD_VACANTES!A:A,BD_VACANTES!C:C,""),"")</f>
        <v/>
      </c>
      <c r="D150" t="str">
        <f ca="1">IFERROR(_xludf.XLOOKUP(B150,BD_VACANTES!A:A,BD_VACANTES!E:E,""),"")</f>
        <v/>
      </c>
      <c r="E150" s="4"/>
      <c r="F150">
        <f>COUNTIFS(BD_CANDIDATOS!H:H,B150,BD_CANDIDATOS!K:K,A150)</f>
        <v>0</v>
      </c>
      <c r="G150">
        <f>COUNTIFS(BD_CANDIDATOS!H:H,B150,BD_CANDIDATOS!K:K,A150,BD_CANDIDATOS!N:N,"SI")</f>
        <v>0</v>
      </c>
      <c r="H150">
        <f>COUNTIFS(BD_CANDIDATOS!H:H,B150,BD_CANDIDATOS!K:K,A150,BD_CANDIDATOS!O:O,"SI")</f>
        <v>0</v>
      </c>
      <c r="I150" s="12">
        <f t="shared" si="4"/>
        <v>0</v>
      </c>
    </row>
    <row r="151" spans="3:9">
      <c r="C151" t="str">
        <f ca="1">IFERROR(_xludf.XLOOKUP(B151,BD_VACANTES!A:A,BD_VACANTES!C:C,""),"")</f>
        <v/>
      </c>
      <c r="D151" t="str">
        <f ca="1">IFERROR(_xludf.XLOOKUP(B151,BD_VACANTES!A:A,BD_VACANTES!E:E,""),"")</f>
        <v/>
      </c>
      <c r="E151" s="4"/>
      <c r="F151">
        <f>COUNTIFS(BD_CANDIDATOS!H:H,B151,BD_CANDIDATOS!K:K,A151)</f>
        <v>0</v>
      </c>
      <c r="G151">
        <f>COUNTIFS(BD_CANDIDATOS!H:H,B151,BD_CANDIDATOS!K:K,A151,BD_CANDIDATOS!N:N,"SI")</f>
        <v>0</v>
      </c>
      <c r="H151">
        <f>COUNTIFS(BD_CANDIDATOS!H:H,B151,BD_CANDIDATOS!K:K,A151,BD_CANDIDATOS!O:O,"SI")</f>
        <v>0</v>
      </c>
      <c r="I151" s="12">
        <f t="shared" si="4"/>
        <v>0</v>
      </c>
    </row>
    <row r="152" spans="3:9">
      <c r="C152" t="str">
        <f ca="1">IFERROR(_xludf.XLOOKUP(B152,BD_VACANTES!A:A,BD_VACANTES!C:C,""),"")</f>
        <v/>
      </c>
      <c r="D152" t="str">
        <f ca="1">IFERROR(_xludf.XLOOKUP(B152,BD_VACANTES!A:A,BD_VACANTES!E:E,""),"")</f>
        <v/>
      </c>
      <c r="E152" s="4"/>
      <c r="F152">
        <f>COUNTIFS(BD_CANDIDATOS!H:H,B152,BD_CANDIDATOS!K:K,A152)</f>
        <v>0</v>
      </c>
      <c r="G152">
        <f>COUNTIFS(BD_CANDIDATOS!H:H,B152,BD_CANDIDATOS!K:K,A152,BD_CANDIDATOS!N:N,"SI")</f>
        <v>0</v>
      </c>
      <c r="H152">
        <f>COUNTIFS(BD_CANDIDATOS!H:H,B152,BD_CANDIDATOS!K:K,A152,BD_CANDIDATOS!O:O,"SI")</f>
        <v>0</v>
      </c>
      <c r="I152" s="12">
        <f t="shared" si="4"/>
        <v>0</v>
      </c>
    </row>
    <row r="153" spans="3:9">
      <c r="C153" t="str">
        <f ca="1">IFERROR(_xludf.XLOOKUP(B153,BD_VACANTES!A:A,BD_VACANTES!C:C,""),"")</f>
        <v/>
      </c>
      <c r="D153" t="str">
        <f ca="1">IFERROR(_xludf.XLOOKUP(B153,BD_VACANTES!A:A,BD_VACANTES!E:E,""),"")</f>
        <v/>
      </c>
      <c r="E153" s="4"/>
      <c r="F153">
        <f>COUNTIFS(BD_CANDIDATOS!H:H,B153,BD_CANDIDATOS!K:K,A153)</f>
        <v>0</v>
      </c>
      <c r="G153">
        <f>COUNTIFS(BD_CANDIDATOS!H:H,B153,BD_CANDIDATOS!K:K,A153,BD_CANDIDATOS!N:N,"SI")</f>
        <v>0</v>
      </c>
      <c r="H153">
        <f>COUNTIFS(BD_CANDIDATOS!H:H,B153,BD_CANDIDATOS!K:K,A153,BD_CANDIDATOS!O:O,"SI")</f>
        <v>0</v>
      </c>
      <c r="I153" s="12">
        <f t="shared" si="4"/>
        <v>0</v>
      </c>
    </row>
    <row r="154" spans="3:9">
      <c r="C154" t="str">
        <f ca="1">IFERROR(_xludf.XLOOKUP(B154,BD_VACANTES!A:A,BD_VACANTES!C:C,""),"")</f>
        <v/>
      </c>
      <c r="D154" t="str">
        <f ca="1">IFERROR(_xludf.XLOOKUP(B154,BD_VACANTES!A:A,BD_VACANTES!E:E,""),"")</f>
        <v/>
      </c>
      <c r="E154" s="4"/>
      <c r="F154">
        <f>COUNTIFS(BD_CANDIDATOS!H:H,B154,BD_CANDIDATOS!K:K,A154)</f>
        <v>0</v>
      </c>
      <c r="G154">
        <f>COUNTIFS(BD_CANDIDATOS!H:H,B154,BD_CANDIDATOS!K:K,A154,BD_CANDIDATOS!N:N,"SI")</f>
        <v>0</v>
      </c>
      <c r="H154">
        <f>COUNTIFS(BD_CANDIDATOS!H:H,B154,BD_CANDIDATOS!K:K,A154,BD_CANDIDATOS!O:O,"SI")</f>
        <v>0</v>
      </c>
      <c r="I154" s="12">
        <f t="shared" si="4"/>
        <v>0</v>
      </c>
    </row>
    <row r="155" spans="3:9">
      <c r="C155" t="str">
        <f ca="1">IFERROR(_xludf.XLOOKUP(B155,BD_VACANTES!A:A,BD_VACANTES!C:C,""),"")</f>
        <v/>
      </c>
      <c r="D155" t="str">
        <f ca="1">IFERROR(_xludf.XLOOKUP(B155,BD_VACANTES!A:A,BD_VACANTES!E:E,""),"")</f>
        <v/>
      </c>
      <c r="E155" s="4"/>
      <c r="F155">
        <f>COUNTIFS(BD_CANDIDATOS!H:H,B155,BD_CANDIDATOS!K:K,A155)</f>
        <v>0</v>
      </c>
      <c r="G155">
        <f>COUNTIFS(BD_CANDIDATOS!H:H,B155,BD_CANDIDATOS!K:K,A155,BD_CANDIDATOS!N:N,"SI")</f>
        <v>0</v>
      </c>
      <c r="H155">
        <f>COUNTIFS(BD_CANDIDATOS!H:H,B155,BD_CANDIDATOS!K:K,A155,BD_CANDIDATOS!O:O,"SI")</f>
        <v>0</v>
      </c>
      <c r="I155" s="12">
        <f t="shared" si="4"/>
        <v>0</v>
      </c>
    </row>
    <row r="156" spans="3:9">
      <c r="C156" t="str">
        <f ca="1">IFERROR(_xludf.XLOOKUP(B156,BD_VACANTES!A:A,BD_VACANTES!C:C,""),"")</f>
        <v/>
      </c>
      <c r="D156" t="str">
        <f ca="1">IFERROR(_xludf.XLOOKUP(B156,BD_VACANTES!A:A,BD_VACANTES!E:E,""),"")</f>
        <v/>
      </c>
      <c r="E156" s="4"/>
      <c r="F156">
        <f>COUNTIFS(BD_CANDIDATOS!H:H,B156,BD_CANDIDATOS!K:K,A156)</f>
        <v>0</v>
      </c>
      <c r="G156">
        <f>COUNTIFS(BD_CANDIDATOS!H:H,B156,BD_CANDIDATOS!K:K,A156,BD_CANDIDATOS!N:N,"SI")</f>
        <v>0</v>
      </c>
      <c r="H156">
        <f>COUNTIFS(BD_CANDIDATOS!H:H,B156,BD_CANDIDATOS!K:K,A156,BD_CANDIDATOS!O:O,"SI")</f>
        <v>0</v>
      </c>
      <c r="I156" s="12">
        <f t="shared" si="4"/>
        <v>0</v>
      </c>
    </row>
    <row r="157" spans="3:9">
      <c r="C157" t="str">
        <f ca="1">IFERROR(_xludf.XLOOKUP(B157,BD_VACANTES!A:A,BD_VACANTES!C:C,""),"")</f>
        <v/>
      </c>
      <c r="D157" t="str">
        <f ca="1">IFERROR(_xludf.XLOOKUP(B157,BD_VACANTES!A:A,BD_VACANTES!E:E,""),"")</f>
        <v/>
      </c>
      <c r="E157" s="4"/>
      <c r="F157">
        <f>COUNTIFS(BD_CANDIDATOS!H:H,B157,BD_CANDIDATOS!K:K,A157)</f>
        <v>0</v>
      </c>
      <c r="G157">
        <f>COUNTIFS(BD_CANDIDATOS!H:H,B157,BD_CANDIDATOS!K:K,A157,BD_CANDIDATOS!N:N,"SI")</f>
        <v>0</v>
      </c>
      <c r="H157">
        <f>COUNTIFS(BD_CANDIDATOS!H:H,B157,BD_CANDIDATOS!K:K,A157,BD_CANDIDATOS!O:O,"SI")</f>
        <v>0</v>
      </c>
      <c r="I157" s="12">
        <f t="shared" si="4"/>
        <v>0</v>
      </c>
    </row>
    <row r="158" spans="3:9">
      <c r="C158" t="str">
        <f ca="1">IFERROR(_xludf.XLOOKUP(B158,BD_VACANTES!A:A,BD_VACANTES!C:C,""),"")</f>
        <v/>
      </c>
      <c r="D158" t="str">
        <f ca="1">IFERROR(_xludf.XLOOKUP(B158,BD_VACANTES!A:A,BD_VACANTES!E:E,""),"")</f>
        <v/>
      </c>
      <c r="E158" s="4"/>
      <c r="F158">
        <f>COUNTIFS(BD_CANDIDATOS!H:H,B158,BD_CANDIDATOS!K:K,A158)</f>
        <v>0</v>
      </c>
      <c r="G158">
        <f>COUNTIFS(BD_CANDIDATOS!H:H,B158,BD_CANDIDATOS!K:K,A158,BD_CANDIDATOS!N:N,"SI")</f>
        <v>0</v>
      </c>
      <c r="H158">
        <f>COUNTIFS(BD_CANDIDATOS!H:H,B158,BD_CANDIDATOS!K:K,A158,BD_CANDIDATOS!O:O,"SI")</f>
        <v>0</v>
      </c>
      <c r="I158" s="12">
        <f t="shared" si="4"/>
        <v>0</v>
      </c>
    </row>
    <row r="159" spans="3:9">
      <c r="C159" t="str">
        <f ca="1">IFERROR(_xludf.XLOOKUP(B159,BD_VACANTES!A:A,BD_VACANTES!C:C,""),"")</f>
        <v/>
      </c>
      <c r="D159" t="str">
        <f ca="1">IFERROR(_xludf.XLOOKUP(B159,BD_VACANTES!A:A,BD_VACANTES!E:E,""),"")</f>
        <v/>
      </c>
      <c r="E159" s="4"/>
      <c r="F159">
        <f>COUNTIFS(BD_CANDIDATOS!H:H,B159,BD_CANDIDATOS!K:K,A159)</f>
        <v>0</v>
      </c>
      <c r="G159">
        <f>COUNTIFS(BD_CANDIDATOS!H:H,B159,BD_CANDIDATOS!K:K,A159,BD_CANDIDATOS!N:N,"SI")</f>
        <v>0</v>
      </c>
      <c r="H159">
        <f>COUNTIFS(BD_CANDIDATOS!H:H,B159,BD_CANDIDATOS!K:K,A159,BD_CANDIDATOS!O:O,"SI")</f>
        <v>0</v>
      </c>
      <c r="I159" s="12">
        <f t="shared" si="4"/>
        <v>0</v>
      </c>
    </row>
    <row r="160" spans="3:9">
      <c r="C160" t="str">
        <f ca="1">IFERROR(_xludf.XLOOKUP(B160,BD_VACANTES!A:A,BD_VACANTES!C:C,""),"")</f>
        <v/>
      </c>
      <c r="D160" t="str">
        <f ca="1">IFERROR(_xludf.XLOOKUP(B160,BD_VACANTES!A:A,BD_VACANTES!E:E,""),"")</f>
        <v/>
      </c>
      <c r="E160" s="4"/>
      <c r="F160">
        <f>COUNTIFS(BD_CANDIDATOS!H:H,B160,BD_CANDIDATOS!K:K,A160)</f>
        <v>0</v>
      </c>
      <c r="G160">
        <f>COUNTIFS(BD_CANDIDATOS!H:H,B160,BD_CANDIDATOS!K:K,A160,BD_CANDIDATOS!N:N,"SI")</f>
        <v>0</v>
      </c>
      <c r="H160">
        <f>COUNTIFS(BD_CANDIDATOS!H:H,B160,BD_CANDIDATOS!K:K,A160,BD_CANDIDATOS!O:O,"SI")</f>
        <v>0</v>
      </c>
      <c r="I160" s="12">
        <f t="shared" si="4"/>
        <v>0</v>
      </c>
    </row>
    <row r="161" spans="3:9">
      <c r="C161" t="str">
        <f ca="1">IFERROR(_xludf.XLOOKUP(B161,BD_VACANTES!A:A,BD_VACANTES!C:C,""),"")</f>
        <v/>
      </c>
      <c r="D161" t="str">
        <f ca="1">IFERROR(_xludf.XLOOKUP(B161,BD_VACANTES!A:A,BD_VACANTES!E:E,""),"")</f>
        <v/>
      </c>
      <c r="E161" s="4"/>
      <c r="F161">
        <f>COUNTIFS(BD_CANDIDATOS!H:H,B161,BD_CANDIDATOS!K:K,A161)</f>
        <v>0</v>
      </c>
      <c r="G161">
        <f>COUNTIFS(BD_CANDIDATOS!H:H,B161,BD_CANDIDATOS!K:K,A161,BD_CANDIDATOS!N:N,"SI")</f>
        <v>0</v>
      </c>
      <c r="H161">
        <f>COUNTIFS(BD_CANDIDATOS!H:H,B161,BD_CANDIDATOS!K:K,A161,BD_CANDIDATOS!O:O,"SI")</f>
        <v>0</v>
      </c>
      <c r="I161" s="12">
        <f t="shared" si="4"/>
        <v>0</v>
      </c>
    </row>
    <row r="162" spans="3:9">
      <c r="C162" t="str">
        <f ca="1">IFERROR(_xludf.XLOOKUP(B162,BD_VACANTES!A:A,BD_VACANTES!C:C,""),"")</f>
        <v/>
      </c>
      <c r="D162" t="str">
        <f ca="1">IFERROR(_xludf.XLOOKUP(B162,BD_VACANTES!A:A,BD_VACANTES!E:E,""),"")</f>
        <v/>
      </c>
      <c r="E162" s="4"/>
      <c r="F162">
        <f>COUNTIFS(BD_CANDIDATOS!H:H,B162,BD_CANDIDATOS!K:K,A162)</f>
        <v>0</v>
      </c>
      <c r="G162">
        <f>COUNTIFS(BD_CANDIDATOS!H:H,B162,BD_CANDIDATOS!K:K,A162,BD_CANDIDATOS!N:N,"SI")</f>
        <v>0</v>
      </c>
      <c r="H162">
        <f>COUNTIFS(BD_CANDIDATOS!H:H,B162,BD_CANDIDATOS!K:K,A162,BD_CANDIDATOS!O:O,"SI")</f>
        <v>0</v>
      </c>
      <c r="I162" s="12">
        <f t="shared" ref="I162:I193" si="5">IFERROR(H162/F162,0)</f>
        <v>0</v>
      </c>
    </row>
    <row r="163" spans="3:9">
      <c r="C163" t="str">
        <f ca="1">IFERROR(_xludf.XLOOKUP(B163,BD_VACANTES!A:A,BD_VACANTES!C:C,""),"")</f>
        <v/>
      </c>
      <c r="D163" t="str">
        <f ca="1">IFERROR(_xludf.XLOOKUP(B163,BD_VACANTES!A:A,BD_VACANTES!E:E,""),"")</f>
        <v/>
      </c>
      <c r="E163" s="4"/>
      <c r="F163">
        <f>COUNTIFS(BD_CANDIDATOS!H:H,B163,BD_CANDIDATOS!K:K,A163)</f>
        <v>0</v>
      </c>
      <c r="G163">
        <f>COUNTIFS(BD_CANDIDATOS!H:H,B163,BD_CANDIDATOS!K:K,A163,BD_CANDIDATOS!N:N,"SI")</f>
        <v>0</v>
      </c>
      <c r="H163">
        <f>COUNTIFS(BD_CANDIDATOS!H:H,B163,BD_CANDIDATOS!K:K,A163,BD_CANDIDATOS!O:O,"SI")</f>
        <v>0</v>
      </c>
      <c r="I163" s="12">
        <f t="shared" si="5"/>
        <v>0</v>
      </c>
    </row>
    <row r="164" spans="3:9">
      <c r="C164" t="str">
        <f ca="1">IFERROR(_xludf.XLOOKUP(B164,BD_VACANTES!A:A,BD_VACANTES!C:C,""),"")</f>
        <v/>
      </c>
      <c r="D164" t="str">
        <f ca="1">IFERROR(_xludf.XLOOKUP(B164,BD_VACANTES!A:A,BD_VACANTES!E:E,""),"")</f>
        <v/>
      </c>
      <c r="E164" s="4"/>
      <c r="F164">
        <f>COUNTIFS(BD_CANDIDATOS!H:H,B164,BD_CANDIDATOS!K:K,A164)</f>
        <v>0</v>
      </c>
      <c r="G164">
        <f>COUNTIFS(BD_CANDIDATOS!H:H,B164,BD_CANDIDATOS!K:K,A164,BD_CANDIDATOS!N:N,"SI")</f>
        <v>0</v>
      </c>
      <c r="H164">
        <f>COUNTIFS(BD_CANDIDATOS!H:H,B164,BD_CANDIDATOS!K:K,A164,BD_CANDIDATOS!O:O,"SI")</f>
        <v>0</v>
      </c>
      <c r="I164" s="12">
        <f t="shared" si="5"/>
        <v>0</v>
      </c>
    </row>
    <row r="165" spans="3:9">
      <c r="C165" t="str">
        <f ca="1">IFERROR(_xludf.XLOOKUP(B165,BD_VACANTES!A:A,BD_VACANTES!C:C,""),"")</f>
        <v/>
      </c>
      <c r="D165" t="str">
        <f ca="1">IFERROR(_xludf.XLOOKUP(B165,BD_VACANTES!A:A,BD_VACANTES!E:E,""),"")</f>
        <v/>
      </c>
      <c r="E165" s="4"/>
      <c r="F165">
        <f>COUNTIFS(BD_CANDIDATOS!H:H,B165,BD_CANDIDATOS!K:K,A165)</f>
        <v>0</v>
      </c>
      <c r="G165">
        <f>COUNTIFS(BD_CANDIDATOS!H:H,B165,BD_CANDIDATOS!K:K,A165,BD_CANDIDATOS!N:N,"SI")</f>
        <v>0</v>
      </c>
      <c r="H165">
        <f>COUNTIFS(BD_CANDIDATOS!H:H,B165,BD_CANDIDATOS!K:K,A165,BD_CANDIDATOS!O:O,"SI")</f>
        <v>0</v>
      </c>
      <c r="I165" s="12">
        <f t="shared" si="5"/>
        <v>0</v>
      </c>
    </row>
    <row r="166" spans="3:9">
      <c r="C166" t="str">
        <f ca="1">IFERROR(_xludf.XLOOKUP(B166,BD_VACANTES!A:A,BD_VACANTES!C:C,""),"")</f>
        <v/>
      </c>
      <c r="D166" t="str">
        <f ca="1">IFERROR(_xludf.XLOOKUP(B166,BD_VACANTES!A:A,BD_VACANTES!E:E,""),"")</f>
        <v/>
      </c>
      <c r="E166" s="4"/>
      <c r="F166">
        <f>COUNTIFS(BD_CANDIDATOS!H:H,B166,BD_CANDIDATOS!K:K,A166)</f>
        <v>0</v>
      </c>
      <c r="G166">
        <f>COUNTIFS(BD_CANDIDATOS!H:H,B166,BD_CANDIDATOS!K:K,A166,BD_CANDIDATOS!N:N,"SI")</f>
        <v>0</v>
      </c>
      <c r="H166">
        <f>COUNTIFS(BD_CANDIDATOS!H:H,B166,BD_CANDIDATOS!K:K,A166,BD_CANDIDATOS!O:O,"SI")</f>
        <v>0</v>
      </c>
      <c r="I166" s="12">
        <f t="shared" si="5"/>
        <v>0</v>
      </c>
    </row>
    <row r="167" spans="3:9">
      <c r="C167" t="str">
        <f ca="1">IFERROR(_xludf.XLOOKUP(B167,BD_VACANTES!A:A,BD_VACANTES!C:C,""),"")</f>
        <v/>
      </c>
      <c r="D167" t="str">
        <f ca="1">IFERROR(_xludf.XLOOKUP(B167,BD_VACANTES!A:A,BD_VACANTES!E:E,""),"")</f>
        <v/>
      </c>
      <c r="E167" s="4"/>
      <c r="F167">
        <f>COUNTIFS(BD_CANDIDATOS!H:H,B167,BD_CANDIDATOS!K:K,A167)</f>
        <v>0</v>
      </c>
      <c r="G167">
        <f>COUNTIFS(BD_CANDIDATOS!H:H,B167,BD_CANDIDATOS!K:K,A167,BD_CANDIDATOS!N:N,"SI")</f>
        <v>0</v>
      </c>
      <c r="H167">
        <f>COUNTIFS(BD_CANDIDATOS!H:H,B167,BD_CANDIDATOS!K:K,A167,BD_CANDIDATOS!O:O,"SI")</f>
        <v>0</v>
      </c>
      <c r="I167" s="12">
        <f t="shared" si="5"/>
        <v>0</v>
      </c>
    </row>
    <row r="168" spans="3:9">
      <c r="C168" t="str">
        <f ca="1">IFERROR(_xludf.XLOOKUP(B168,BD_VACANTES!A:A,BD_VACANTES!C:C,""),"")</f>
        <v/>
      </c>
      <c r="D168" t="str">
        <f ca="1">IFERROR(_xludf.XLOOKUP(B168,BD_VACANTES!A:A,BD_VACANTES!E:E,""),"")</f>
        <v/>
      </c>
      <c r="E168" s="4"/>
      <c r="F168">
        <f>COUNTIFS(BD_CANDIDATOS!H:H,B168,BD_CANDIDATOS!K:K,A168)</f>
        <v>0</v>
      </c>
      <c r="G168">
        <f>COUNTIFS(BD_CANDIDATOS!H:H,B168,BD_CANDIDATOS!K:K,A168,BD_CANDIDATOS!N:N,"SI")</f>
        <v>0</v>
      </c>
      <c r="H168">
        <f>COUNTIFS(BD_CANDIDATOS!H:H,B168,BD_CANDIDATOS!K:K,A168,BD_CANDIDATOS!O:O,"SI")</f>
        <v>0</v>
      </c>
      <c r="I168" s="12">
        <f t="shared" si="5"/>
        <v>0</v>
      </c>
    </row>
    <row r="169" spans="3:9">
      <c r="C169" t="str">
        <f ca="1">IFERROR(_xludf.XLOOKUP(B169,BD_VACANTES!A:A,BD_VACANTES!C:C,""),"")</f>
        <v/>
      </c>
      <c r="D169" t="str">
        <f ca="1">IFERROR(_xludf.XLOOKUP(B169,BD_VACANTES!A:A,BD_VACANTES!E:E,""),"")</f>
        <v/>
      </c>
      <c r="E169" s="4"/>
      <c r="F169">
        <f>COUNTIFS(BD_CANDIDATOS!H:H,B169,BD_CANDIDATOS!K:K,A169)</f>
        <v>0</v>
      </c>
      <c r="G169">
        <f>COUNTIFS(BD_CANDIDATOS!H:H,B169,BD_CANDIDATOS!K:K,A169,BD_CANDIDATOS!N:N,"SI")</f>
        <v>0</v>
      </c>
      <c r="H169">
        <f>COUNTIFS(BD_CANDIDATOS!H:H,B169,BD_CANDIDATOS!K:K,A169,BD_CANDIDATOS!O:O,"SI")</f>
        <v>0</v>
      </c>
      <c r="I169" s="12">
        <f t="shared" si="5"/>
        <v>0</v>
      </c>
    </row>
    <row r="170" spans="3:9">
      <c r="C170" t="str">
        <f ca="1">IFERROR(_xludf.XLOOKUP(B170,BD_VACANTES!A:A,BD_VACANTES!C:C,""),"")</f>
        <v/>
      </c>
      <c r="D170" t="str">
        <f ca="1">IFERROR(_xludf.XLOOKUP(B170,BD_VACANTES!A:A,BD_VACANTES!E:E,""),"")</f>
        <v/>
      </c>
      <c r="E170" s="4"/>
      <c r="F170">
        <f>COUNTIFS(BD_CANDIDATOS!H:H,B170,BD_CANDIDATOS!K:K,A170)</f>
        <v>0</v>
      </c>
      <c r="G170">
        <f>COUNTIFS(BD_CANDIDATOS!H:H,B170,BD_CANDIDATOS!K:K,A170,BD_CANDIDATOS!N:N,"SI")</f>
        <v>0</v>
      </c>
      <c r="H170">
        <f>COUNTIFS(BD_CANDIDATOS!H:H,B170,BD_CANDIDATOS!K:K,A170,BD_CANDIDATOS!O:O,"SI")</f>
        <v>0</v>
      </c>
      <c r="I170" s="12">
        <f t="shared" si="5"/>
        <v>0</v>
      </c>
    </row>
    <row r="171" spans="3:9">
      <c r="C171" t="str">
        <f ca="1">IFERROR(_xludf.XLOOKUP(B171,BD_VACANTES!A:A,BD_VACANTES!C:C,""),"")</f>
        <v/>
      </c>
      <c r="D171" t="str">
        <f ca="1">IFERROR(_xludf.XLOOKUP(B171,BD_VACANTES!A:A,BD_VACANTES!E:E,""),"")</f>
        <v/>
      </c>
      <c r="E171" s="4"/>
      <c r="F171">
        <f>COUNTIFS(BD_CANDIDATOS!H:H,B171,BD_CANDIDATOS!K:K,A171)</f>
        <v>0</v>
      </c>
      <c r="G171">
        <f>COUNTIFS(BD_CANDIDATOS!H:H,B171,BD_CANDIDATOS!K:K,A171,BD_CANDIDATOS!N:N,"SI")</f>
        <v>0</v>
      </c>
      <c r="H171">
        <f>COUNTIFS(BD_CANDIDATOS!H:H,B171,BD_CANDIDATOS!K:K,A171,BD_CANDIDATOS!O:O,"SI")</f>
        <v>0</v>
      </c>
      <c r="I171" s="12">
        <f t="shared" si="5"/>
        <v>0</v>
      </c>
    </row>
    <row r="172" spans="3:9">
      <c r="C172" t="str">
        <f ca="1">IFERROR(_xludf.XLOOKUP(B172,BD_VACANTES!A:A,BD_VACANTES!C:C,""),"")</f>
        <v/>
      </c>
      <c r="D172" t="str">
        <f ca="1">IFERROR(_xludf.XLOOKUP(B172,BD_VACANTES!A:A,BD_VACANTES!E:E,""),"")</f>
        <v/>
      </c>
      <c r="E172" s="4"/>
      <c r="F172">
        <f>COUNTIFS(BD_CANDIDATOS!H:H,B172,BD_CANDIDATOS!K:K,A172)</f>
        <v>0</v>
      </c>
      <c r="G172">
        <f>COUNTIFS(BD_CANDIDATOS!H:H,B172,BD_CANDIDATOS!K:K,A172,BD_CANDIDATOS!N:N,"SI")</f>
        <v>0</v>
      </c>
      <c r="H172">
        <f>COUNTIFS(BD_CANDIDATOS!H:H,B172,BD_CANDIDATOS!K:K,A172,BD_CANDIDATOS!O:O,"SI")</f>
        <v>0</v>
      </c>
      <c r="I172" s="12">
        <f t="shared" si="5"/>
        <v>0</v>
      </c>
    </row>
    <row r="173" spans="3:9">
      <c r="C173" t="str">
        <f ca="1">IFERROR(_xludf.XLOOKUP(B173,BD_VACANTES!A:A,BD_VACANTES!C:C,""),"")</f>
        <v/>
      </c>
      <c r="D173" t="str">
        <f ca="1">IFERROR(_xludf.XLOOKUP(B173,BD_VACANTES!A:A,BD_VACANTES!E:E,""),"")</f>
        <v/>
      </c>
      <c r="E173" s="4"/>
      <c r="F173">
        <f>COUNTIFS(BD_CANDIDATOS!H:H,B173,BD_CANDIDATOS!K:K,A173)</f>
        <v>0</v>
      </c>
      <c r="G173">
        <f>COUNTIFS(BD_CANDIDATOS!H:H,B173,BD_CANDIDATOS!K:K,A173,BD_CANDIDATOS!N:N,"SI")</f>
        <v>0</v>
      </c>
      <c r="H173">
        <f>COUNTIFS(BD_CANDIDATOS!H:H,B173,BD_CANDIDATOS!K:K,A173,BD_CANDIDATOS!O:O,"SI")</f>
        <v>0</v>
      </c>
      <c r="I173" s="12">
        <f t="shared" si="5"/>
        <v>0</v>
      </c>
    </row>
    <row r="174" spans="3:9">
      <c r="C174" t="str">
        <f ca="1">IFERROR(_xludf.XLOOKUP(B174,BD_VACANTES!A:A,BD_VACANTES!C:C,""),"")</f>
        <v/>
      </c>
      <c r="D174" t="str">
        <f ca="1">IFERROR(_xludf.XLOOKUP(B174,BD_VACANTES!A:A,BD_VACANTES!E:E,""),"")</f>
        <v/>
      </c>
      <c r="E174" s="4"/>
      <c r="F174">
        <f>COUNTIFS(BD_CANDIDATOS!H:H,B174,BD_CANDIDATOS!K:K,A174)</f>
        <v>0</v>
      </c>
      <c r="G174">
        <f>COUNTIFS(BD_CANDIDATOS!H:H,B174,BD_CANDIDATOS!K:K,A174,BD_CANDIDATOS!N:N,"SI")</f>
        <v>0</v>
      </c>
      <c r="H174">
        <f>COUNTIFS(BD_CANDIDATOS!H:H,B174,BD_CANDIDATOS!K:K,A174,BD_CANDIDATOS!O:O,"SI")</f>
        <v>0</v>
      </c>
      <c r="I174" s="12">
        <f t="shared" si="5"/>
        <v>0</v>
      </c>
    </row>
    <row r="175" spans="3:9">
      <c r="C175" t="str">
        <f ca="1">IFERROR(_xludf.XLOOKUP(B175,BD_VACANTES!A:A,BD_VACANTES!C:C,""),"")</f>
        <v/>
      </c>
      <c r="D175" t="str">
        <f ca="1">IFERROR(_xludf.XLOOKUP(B175,BD_VACANTES!A:A,BD_VACANTES!E:E,""),"")</f>
        <v/>
      </c>
      <c r="E175" s="4"/>
      <c r="F175">
        <f>COUNTIFS(BD_CANDIDATOS!H:H,B175,BD_CANDIDATOS!K:K,A175)</f>
        <v>0</v>
      </c>
      <c r="G175">
        <f>COUNTIFS(BD_CANDIDATOS!H:H,B175,BD_CANDIDATOS!K:K,A175,BD_CANDIDATOS!N:N,"SI")</f>
        <v>0</v>
      </c>
      <c r="H175">
        <f>COUNTIFS(BD_CANDIDATOS!H:H,B175,BD_CANDIDATOS!K:K,A175,BD_CANDIDATOS!O:O,"SI")</f>
        <v>0</v>
      </c>
      <c r="I175" s="12">
        <f t="shared" si="5"/>
        <v>0</v>
      </c>
    </row>
    <row r="176" spans="3:9">
      <c r="C176" t="str">
        <f ca="1">IFERROR(_xludf.XLOOKUP(B176,BD_VACANTES!A:A,BD_VACANTES!C:C,""),"")</f>
        <v/>
      </c>
      <c r="D176" t="str">
        <f ca="1">IFERROR(_xludf.XLOOKUP(B176,BD_VACANTES!A:A,BD_VACANTES!E:E,""),"")</f>
        <v/>
      </c>
      <c r="E176" s="4"/>
      <c r="F176">
        <f>COUNTIFS(BD_CANDIDATOS!H:H,B176,BD_CANDIDATOS!K:K,A176)</f>
        <v>0</v>
      </c>
      <c r="G176">
        <f>COUNTIFS(BD_CANDIDATOS!H:H,B176,BD_CANDIDATOS!K:K,A176,BD_CANDIDATOS!N:N,"SI")</f>
        <v>0</v>
      </c>
      <c r="H176">
        <f>COUNTIFS(BD_CANDIDATOS!H:H,B176,BD_CANDIDATOS!K:K,A176,BD_CANDIDATOS!O:O,"SI")</f>
        <v>0</v>
      </c>
      <c r="I176" s="12">
        <f t="shared" si="5"/>
        <v>0</v>
      </c>
    </row>
    <row r="177" spans="3:9">
      <c r="C177" t="str">
        <f ca="1">IFERROR(_xludf.XLOOKUP(B177,BD_VACANTES!A:A,BD_VACANTES!C:C,""),"")</f>
        <v/>
      </c>
      <c r="D177" t="str">
        <f ca="1">IFERROR(_xludf.XLOOKUP(B177,BD_VACANTES!A:A,BD_VACANTES!E:E,""),"")</f>
        <v/>
      </c>
      <c r="E177" s="4"/>
      <c r="F177">
        <f>COUNTIFS(BD_CANDIDATOS!H:H,B177,BD_CANDIDATOS!K:K,A177)</f>
        <v>0</v>
      </c>
      <c r="G177">
        <f>COUNTIFS(BD_CANDIDATOS!H:H,B177,BD_CANDIDATOS!K:K,A177,BD_CANDIDATOS!N:N,"SI")</f>
        <v>0</v>
      </c>
      <c r="H177">
        <f>COUNTIFS(BD_CANDIDATOS!H:H,B177,BD_CANDIDATOS!K:K,A177,BD_CANDIDATOS!O:O,"SI")</f>
        <v>0</v>
      </c>
      <c r="I177" s="12">
        <f t="shared" si="5"/>
        <v>0</v>
      </c>
    </row>
    <row r="178" spans="3:9">
      <c r="C178" t="str">
        <f ca="1">IFERROR(_xludf.XLOOKUP(B178,BD_VACANTES!A:A,BD_VACANTES!C:C,""),"")</f>
        <v/>
      </c>
      <c r="D178" t="str">
        <f ca="1">IFERROR(_xludf.XLOOKUP(B178,BD_VACANTES!A:A,BD_VACANTES!E:E,""),"")</f>
        <v/>
      </c>
      <c r="E178" s="4"/>
      <c r="F178">
        <f>COUNTIFS(BD_CANDIDATOS!H:H,B178,BD_CANDIDATOS!K:K,A178)</f>
        <v>0</v>
      </c>
      <c r="G178">
        <f>COUNTIFS(BD_CANDIDATOS!H:H,B178,BD_CANDIDATOS!K:K,A178,BD_CANDIDATOS!N:N,"SI")</f>
        <v>0</v>
      </c>
      <c r="H178">
        <f>COUNTIFS(BD_CANDIDATOS!H:H,B178,BD_CANDIDATOS!K:K,A178,BD_CANDIDATOS!O:O,"SI")</f>
        <v>0</v>
      </c>
      <c r="I178" s="12">
        <f t="shared" si="5"/>
        <v>0</v>
      </c>
    </row>
    <row r="179" spans="3:9">
      <c r="C179" t="str">
        <f ca="1">IFERROR(_xludf.XLOOKUP(B179,BD_VACANTES!A:A,BD_VACANTES!C:C,""),"")</f>
        <v/>
      </c>
      <c r="D179" t="str">
        <f ca="1">IFERROR(_xludf.XLOOKUP(B179,BD_VACANTES!A:A,BD_VACANTES!E:E,""),"")</f>
        <v/>
      </c>
      <c r="E179" s="4"/>
      <c r="F179">
        <f>COUNTIFS(BD_CANDIDATOS!H:H,B179,BD_CANDIDATOS!K:K,A179)</f>
        <v>0</v>
      </c>
      <c r="G179">
        <f>COUNTIFS(BD_CANDIDATOS!H:H,B179,BD_CANDIDATOS!K:K,A179,BD_CANDIDATOS!N:N,"SI")</f>
        <v>0</v>
      </c>
      <c r="H179">
        <f>COUNTIFS(BD_CANDIDATOS!H:H,B179,BD_CANDIDATOS!K:K,A179,BD_CANDIDATOS!O:O,"SI")</f>
        <v>0</v>
      </c>
      <c r="I179" s="12">
        <f t="shared" si="5"/>
        <v>0</v>
      </c>
    </row>
    <row r="180" spans="3:9">
      <c r="C180" t="str">
        <f ca="1">IFERROR(_xludf.XLOOKUP(B180,BD_VACANTES!A:A,BD_VACANTES!C:C,""),"")</f>
        <v/>
      </c>
      <c r="D180" t="str">
        <f ca="1">IFERROR(_xludf.XLOOKUP(B180,BD_VACANTES!A:A,BD_VACANTES!E:E,""),"")</f>
        <v/>
      </c>
      <c r="E180" s="4"/>
      <c r="F180">
        <f>COUNTIFS(BD_CANDIDATOS!H:H,B180,BD_CANDIDATOS!K:K,A180)</f>
        <v>0</v>
      </c>
      <c r="G180">
        <f>COUNTIFS(BD_CANDIDATOS!H:H,B180,BD_CANDIDATOS!K:K,A180,BD_CANDIDATOS!N:N,"SI")</f>
        <v>0</v>
      </c>
      <c r="H180">
        <f>COUNTIFS(BD_CANDIDATOS!H:H,B180,BD_CANDIDATOS!K:K,A180,BD_CANDIDATOS!O:O,"SI")</f>
        <v>0</v>
      </c>
      <c r="I180" s="12">
        <f t="shared" si="5"/>
        <v>0</v>
      </c>
    </row>
    <row r="181" spans="3:9">
      <c r="C181" t="str">
        <f ca="1">IFERROR(_xludf.XLOOKUP(B181,BD_VACANTES!A:A,BD_VACANTES!C:C,""),"")</f>
        <v/>
      </c>
      <c r="D181" t="str">
        <f ca="1">IFERROR(_xludf.XLOOKUP(B181,BD_VACANTES!A:A,BD_VACANTES!E:E,""),"")</f>
        <v/>
      </c>
      <c r="E181" s="4"/>
      <c r="F181">
        <f>COUNTIFS(BD_CANDIDATOS!H:H,B181,BD_CANDIDATOS!K:K,A181)</f>
        <v>0</v>
      </c>
      <c r="G181">
        <f>COUNTIFS(BD_CANDIDATOS!H:H,B181,BD_CANDIDATOS!K:K,A181,BD_CANDIDATOS!N:N,"SI")</f>
        <v>0</v>
      </c>
      <c r="H181">
        <f>COUNTIFS(BD_CANDIDATOS!H:H,B181,BD_CANDIDATOS!K:K,A181,BD_CANDIDATOS!O:O,"SI")</f>
        <v>0</v>
      </c>
      <c r="I181" s="12">
        <f t="shared" si="5"/>
        <v>0</v>
      </c>
    </row>
    <row r="182" spans="3:9">
      <c r="C182" t="str">
        <f ca="1">IFERROR(_xludf.XLOOKUP(B182,BD_VACANTES!A:A,BD_VACANTES!C:C,""),"")</f>
        <v/>
      </c>
      <c r="D182" t="str">
        <f ca="1">IFERROR(_xludf.XLOOKUP(B182,BD_VACANTES!A:A,BD_VACANTES!E:E,""),"")</f>
        <v/>
      </c>
      <c r="E182" s="4"/>
      <c r="F182">
        <f>COUNTIFS(BD_CANDIDATOS!H:H,B182,BD_CANDIDATOS!K:K,A182)</f>
        <v>0</v>
      </c>
      <c r="G182">
        <f>COUNTIFS(BD_CANDIDATOS!H:H,B182,BD_CANDIDATOS!K:K,A182,BD_CANDIDATOS!N:N,"SI")</f>
        <v>0</v>
      </c>
      <c r="H182">
        <f>COUNTIFS(BD_CANDIDATOS!H:H,B182,BD_CANDIDATOS!K:K,A182,BD_CANDIDATOS!O:O,"SI")</f>
        <v>0</v>
      </c>
      <c r="I182" s="12">
        <f t="shared" si="5"/>
        <v>0</v>
      </c>
    </row>
    <row r="183" spans="3:9">
      <c r="C183" t="str">
        <f ca="1">IFERROR(_xludf.XLOOKUP(B183,BD_VACANTES!A:A,BD_VACANTES!C:C,""),"")</f>
        <v/>
      </c>
      <c r="D183" t="str">
        <f ca="1">IFERROR(_xludf.XLOOKUP(B183,BD_VACANTES!A:A,BD_VACANTES!E:E,""),"")</f>
        <v/>
      </c>
      <c r="E183" s="4"/>
      <c r="F183">
        <f>COUNTIFS(BD_CANDIDATOS!H:H,B183,BD_CANDIDATOS!K:K,A183)</f>
        <v>0</v>
      </c>
      <c r="G183">
        <f>COUNTIFS(BD_CANDIDATOS!H:H,B183,BD_CANDIDATOS!K:K,A183,BD_CANDIDATOS!N:N,"SI")</f>
        <v>0</v>
      </c>
      <c r="H183">
        <f>COUNTIFS(BD_CANDIDATOS!H:H,B183,BD_CANDIDATOS!K:K,A183,BD_CANDIDATOS!O:O,"SI")</f>
        <v>0</v>
      </c>
      <c r="I183" s="12">
        <f t="shared" si="5"/>
        <v>0</v>
      </c>
    </row>
    <row r="184" spans="3:9">
      <c r="C184" t="str">
        <f ca="1">IFERROR(_xludf.XLOOKUP(B184,BD_VACANTES!A:A,BD_VACANTES!C:C,""),"")</f>
        <v/>
      </c>
      <c r="D184" t="str">
        <f ca="1">IFERROR(_xludf.XLOOKUP(B184,BD_VACANTES!A:A,BD_VACANTES!E:E,""),"")</f>
        <v/>
      </c>
      <c r="E184" s="4"/>
      <c r="F184">
        <f>COUNTIFS(BD_CANDIDATOS!H:H,B184,BD_CANDIDATOS!K:K,A184)</f>
        <v>0</v>
      </c>
      <c r="G184">
        <f>COUNTIFS(BD_CANDIDATOS!H:H,B184,BD_CANDIDATOS!K:K,A184,BD_CANDIDATOS!N:N,"SI")</f>
        <v>0</v>
      </c>
      <c r="H184">
        <f>COUNTIFS(BD_CANDIDATOS!H:H,B184,BD_CANDIDATOS!K:K,A184,BD_CANDIDATOS!O:O,"SI")</f>
        <v>0</v>
      </c>
      <c r="I184" s="12">
        <f t="shared" si="5"/>
        <v>0</v>
      </c>
    </row>
    <row r="185" spans="3:9">
      <c r="C185" t="str">
        <f ca="1">IFERROR(_xludf.XLOOKUP(B185,BD_VACANTES!A:A,BD_VACANTES!C:C,""),"")</f>
        <v/>
      </c>
      <c r="D185" t="str">
        <f ca="1">IFERROR(_xludf.XLOOKUP(B185,BD_VACANTES!A:A,BD_VACANTES!E:E,""),"")</f>
        <v/>
      </c>
      <c r="E185" s="4"/>
      <c r="F185">
        <f>COUNTIFS(BD_CANDIDATOS!H:H,B185,BD_CANDIDATOS!K:K,A185)</f>
        <v>0</v>
      </c>
      <c r="G185">
        <f>COUNTIFS(BD_CANDIDATOS!H:H,B185,BD_CANDIDATOS!K:K,A185,BD_CANDIDATOS!N:N,"SI")</f>
        <v>0</v>
      </c>
      <c r="H185">
        <f>COUNTIFS(BD_CANDIDATOS!H:H,B185,BD_CANDIDATOS!K:K,A185,BD_CANDIDATOS!O:O,"SI")</f>
        <v>0</v>
      </c>
      <c r="I185" s="12">
        <f t="shared" si="5"/>
        <v>0</v>
      </c>
    </row>
    <row r="186" spans="3:9">
      <c r="C186" t="str">
        <f ca="1">IFERROR(_xludf.XLOOKUP(B186,BD_VACANTES!A:A,BD_VACANTES!C:C,""),"")</f>
        <v/>
      </c>
      <c r="D186" t="str">
        <f ca="1">IFERROR(_xludf.XLOOKUP(B186,BD_VACANTES!A:A,BD_VACANTES!E:E,""),"")</f>
        <v/>
      </c>
      <c r="E186" s="4"/>
      <c r="F186">
        <f>COUNTIFS(BD_CANDIDATOS!H:H,B186,BD_CANDIDATOS!K:K,A186)</f>
        <v>0</v>
      </c>
      <c r="G186">
        <f>COUNTIFS(BD_CANDIDATOS!H:H,B186,BD_CANDIDATOS!K:K,A186,BD_CANDIDATOS!N:N,"SI")</f>
        <v>0</v>
      </c>
      <c r="H186">
        <f>COUNTIFS(BD_CANDIDATOS!H:H,B186,BD_CANDIDATOS!K:K,A186,BD_CANDIDATOS!O:O,"SI")</f>
        <v>0</v>
      </c>
      <c r="I186" s="12">
        <f t="shared" si="5"/>
        <v>0</v>
      </c>
    </row>
    <row r="187" spans="3:9">
      <c r="C187" t="str">
        <f ca="1">IFERROR(_xludf.XLOOKUP(B187,BD_VACANTES!A:A,BD_VACANTES!C:C,""),"")</f>
        <v/>
      </c>
      <c r="D187" t="str">
        <f ca="1">IFERROR(_xludf.XLOOKUP(B187,BD_VACANTES!A:A,BD_VACANTES!E:E,""),"")</f>
        <v/>
      </c>
      <c r="E187" s="4"/>
      <c r="F187">
        <f>COUNTIFS(BD_CANDIDATOS!H:H,B187,BD_CANDIDATOS!K:K,A187)</f>
        <v>0</v>
      </c>
      <c r="G187">
        <f>COUNTIFS(BD_CANDIDATOS!H:H,B187,BD_CANDIDATOS!K:K,A187,BD_CANDIDATOS!N:N,"SI")</f>
        <v>0</v>
      </c>
      <c r="H187">
        <f>COUNTIFS(BD_CANDIDATOS!H:H,B187,BD_CANDIDATOS!K:K,A187,BD_CANDIDATOS!O:O,"SI")</f>
        <v>0</v>
      </c>
      <c r="I187" s="12">
        <f t="shared" si="5"/>
        <v>0</v>
      </c>
    </row>
    <row r="188" spans="3:9">
      <c r="C188" t="str">
        <f ca="1">IFERROR(_xludf.XLOOKUP(B188,BD_VACANTES!A:A,BD_VACANTES!C:C,""),"")</f>
        <v/>
      </c>
      <c r="D188" t="str">
        <f ca="1">IFERROR(_xludf.XLOOKUP(B188,BD_VACANTES!A:A,BD_VACANTES!E:E,""),"")</f>
        <v/>
      </c>
      <c r="E188" s="4"/>
      <c r="F188">
        <f>COUNTIFS(BD_CANDIDATOS!H:H,B188,BD_CANDIDATOS!K:K,A188)</f>
        <v>0</v>
      </c>
      <c r="G188">
        <f>COUNTIFS(BD_CANDIDATOS!H:H,B188,BD_CANDIDATOS!K:K,A188,BD_CANDIDATOS!N:N,"SI")</f>
        <v>0</v>
      </c>
      <c r="H188">
        <f>COUNTIFS(BD_CANDIDATOS!H:H,B188,BD_CANDIDATOS!K:K,A188,BD_CANDIDATOS!O:O,"SI")</f>
        <v>0</v>
      </c>
      <c r="I188" s="12">
        <f t="shared" si="5"/>
        <v>0</v>
      </c>
    </row>
    <row r="189" spans="3:9">
      <c r="C189" t="str">
        <f ca="1">IFERROR(_xludf.XLOOKUP(B189,BD_VACANTES!A:A,BD_VACANTES!C:C,""),"")</f>
        <v/>
      </c>
      <c r="D189" t="str">
        <f ca="1">IFERROR(_xludf.XLOOKUP(B189,BD_VACANTES!A:A,BD_VACANTES!E:E,""),"")</f>
        <v/>
      </c>
      <c r="E189" s="4"/>
      <c r="F189">
        <f>COUNTIFS(BD_CANDIDATOS!H:H,B189,BD_CANDIDATOS!K:K,A189)</f>
        <v>0</v>
      </c>
      <c r="G189">
        <f>COUNTIFS(BD_CANDIDATOS!H:H,B189,BD_CANDIDATOS!K:K,A189,BD_CANDIDATOS!N:N,"SI")</f>
        <v>0</v>
      </c>
      <c r="H189">
        <f>COUNTIFS(BD_CANDIDATOS!H:H,B189,BD_CANDIDATOS!K:K,A189,BD_CANDIDATOS!O:O,"SI")</f>
        <v>0</v>
      </c>
      <c r="I189" s="12">
        <f t="shared" si="5"/>
        <v>0</v>
      </c>
    </row>
    <row r="190" spans="3:9">
      <c r="C190" t="str">
        <f ca="1">IFERROR(_xludf.XLOOKUP(B190,BD_VACANTES!A:A,BD_VACANTES!C:C,""),"")</f>
        <v/>
      </c>
      <c r="D190" t="str">
        <f ca="1">IFERROR(_xludf.XLOOKUP(B190,BD_VACANTES!A:A,BD_VACANTES!E:E,""),"")</f>
        <v/>
      </c>
      <c r="E190" s="4"/>
      <c r="F190">
        <f>COUNTIFS(BD_CANDIDATOS!H:H,B190,BD_CANDIDATOS!K:K,A190)</f>
        <v>0</v>
      </c>
      <c r="G190">
        <f>COUNTIFS(BD_CANDIDATOS!H:H,B190,BD_CANDIDATOS!K:K,A190,BD_CANDIDATOS!N:N,"SI")</f>
        <v>0</v>
      </c>
      <c r="H190">
        <f>COUNTIFS(BD_CANDIDATOS!H:H,B190,BD_CANDIDATOS!K:K,A190,BD_CANDIDATOS!O:O,"SI")</f>
        <v>0</v>
      </c>
      <c r="I190" s="12">
        <f t="shared" si="5"/>
        <v>0</v>
      </c>
    </row>
    <row r="191" spans="3:9">
      <c r="C191" t="str">
        <f ca="1">IFERROR(_xludf.XLOOKUP(B191,BD_VACANTES!A:A,BD_VACANTES!C:C,""),"")</f>
        <v/>
      </c>
      <c r="D191" t="str">
        <f ca="1">IFERROR(_xludf.XLOOKUP(B191,BD_VACANTES!A:A,BD_VACANTES!E:E,""),"")</f>
        <v/>
      </c>
      <c r="E191" s="4"/>
      <c r="F191">
        <f>COUNTIFS(BD_CANDIDATOS!H:H,B191,BD_CANDIDATOS!K:K,A191)</f>
        <v>0</v>
      </c>
      <c r="G191">
        <f>COUNTIFS(BD_CANDIDATOS!H:H,B191,BD_CANDIDATOS!K:K,A191,BD_CANDIDATOS!N:N,"SI")</f>
        <v>0</v>
      </c>
      <c r="H191">
        <f>COUNTIFS(BD_CANDIDATOS!H:H,B191,BD_CANDIDATOS!K:K,A191,BD_CANDIDATOS!O:O,"SI")</f>
        <v>0</v>
      </c>
      <c r="I191" s="12">
        <f t="shared" si="5"/>
        <v>0</v>
      </c>
    </row>
    <row r="192" spans="3:9">
      <c r="C192" t="str">
        <f ca="1">IFERROR(_xludf.XLOOKUP(B192,BD_VACANTES!A:A,BD_VACANTES!C:C,""),"")</f>
        <v/>
      </c>
      <c r="D192" t="str">
        <f ca="1">IFERROR(_xludf.XLOOKUP(B192,BD_VACANTES!A:A,BD_VACANTES!E:E,""),"")</f>
        <v/>
      </c>
      <c r="E192" s="4"/>
      <c r="F192">
        <f>COUNTIFS(BD_CANDIDATOS!H:H,B192,BD_CANDIDATOS!K:K,A192)</f>
        <v>0</v>
      </c>
      <c r="G192">
        <f>COUNTIFS(BD_CANDIDATOS!H:H,B192,BD_CANDIDATOS!K:K,A192,BD_CANDIDATOS!N:N,"SI")</f>
        <v>0</v>
      </c>
      <c r="H192">
        <f>COUNTIFS(BD_CANDIDATOS!H:H,B192,BD_CANDIDATOS!K:K,A192,BD_CANDIDATOS!O:O,"SI")</f>
        <v>0</v>
      </c>
      <c r="I192" s="12">
        <f t="shared" si="5"/>
        <v>0</v>
      </c>
    </row>
    <row r="193" spans="3:9">
      <c r="C193" t="str">
        <f ca="1">IFERROR(_xludf.XLOOKUP(B193,BD_VACANTES!A:A,BD_VACANTES!C:C,""),"")</f>
        <v/>
      </c>
      <c r="D193" t="str">
        <f ca="1">IFERROR(_xludf.XLOOKUP(B193,BD_VACANTES!A:A,BD_VACANTES!E:E,""),"")</f>
        <v/>
      </c>
      <c r="E193" s="4"/>
      <c r="F193">
        <f>COUNTIFS(BD_CANDIDATOS!H:H,B193,BD_CANDIDATOS!K:K,A193)</f>
        <v>0</v>
      </c>
      <c r="G193">
        <f>COUNTIFS(BD_CANDIDATOS!H:H,B193,BD_CANDIDATOS!K:K,A193,BD_CANDIDATOS!N:N,"SI")</f>
        <v>0</v>
      </c>
      <c r="H193">
        <f>COUNTIFS(BD_CANDIDATOS!H:H,B193,BD_CANDIDATOS!K:K,A193,BD_CANDIDATOS!O:O,"SI")</f>
        <v>0</v>
      </c>
      <c r="I193" s="12">
        <f t="shared" si="5"/>
        <v>0</v>
      </c>
    </row>
    <row r="194" spans="3:9">
      <c r="C194" t="str">
        <f ca="1">IFERROR(_xludf.XLOOKUP(B194,BD_VACANTES!A:A,BD_VACANTES!C:C,""),"")</f>
        <v/>
      </c>
      <c r="D194" t="str">
        <f ca="1">IFERROR(_xludf.XLOOKUP(B194,BD_VACANTES!A:A,BD_VACANTES!E:E,""),"")</f>
        <v/>
      </c>
      <c r="E194" s="4"/>
      <c r="F194">
        <f>COUNTIFS(BD_CANDIDATOS!H:H,B194,BD_CANDIDATOS!K:K,A194)</f>
        <v>0</v>
      </c>
      <c r="G194">
        <f>COUNTIFS(BD_CANDIDATOS!H:H,B194,BD_CANDIDATOS!K:K,A194,BD_CANDIDATOS!N:N,"SI")</f>
        <v>0</v>
      </c>
      <c r="H194">
        <f>COUNTIFS(BD_CANDIDATOS!H:H,B194,BD_CANDIDATOS!K:K,A194,BD_CANDIDATOS!O:O,"SI")</f>
        <v>0</v>
      </c>
      <c r="I194" s="12">
        <f t="shared" ref="I194:I200" si="6">IFERROR(H194/F194,0)</f>
        <v>0</v>
      </c>
    </row>
    <row r="195" spans="3:9">
      <c r="C195" t="str">
        <f ca="1">IFERROR(_xludf.XLOOKUP(B195,BD_VACANTES!A:A,BD_VACANTES!C:C,""),"")</f>
        <v/>
      </c>
      <c r="D195" t="str">
        <f ca="1">IFERROR(_xludf.XLOOKUP(B195,BD_VACANTES!A:A,BD_VACANTES!E:E,""),"")</f>
        <v/>
      </c>
      <c r="E195" s="4"/>
      <c r="F195">
        <f>COUNTIFS(BD_CANDIDATOS!H:H,B195,BD_CANDIDATOS!K:K,A195)</f>
        <v>0</v>
      </c>
      <c r="G195">
        <f>COUNTIFS(BD_CANDIDATOS!H:H,B195,BD_CANDIDATOS!K:K,A195,BD_CANDIDATOS!N:N,"SI")</f>
        <v>0</v>
      </c>
      <c r="H195">
        <f>COUNTIFS(BD_CANDIDATOS!H:H,B195,BD_CANDIDATOS!K:K,A195,BD_CANDIDATOS!O:O,"SI")</f>
        <v>0</v>
      </c>
      <c r="I195" s="12">
        <f t="shared" si="6"/>
        <v>0</v>
      </c>
    </row>
    <row r="196" spans="3:9">
      <c r="C196" t="str">
        <f ca="1">IFERROR(_xludf.XLOOKUP(B196,BD_VACANTES!A:A,BD_VACANTES!C:C,""),"")</f>
        <v/>
      </c>
      <c r="D196" t="str">
        <f ca="1">IFERROR(_xludf.XLOOKUP(B196,BD_VACANTES!A:A,BD_VACANTES!E:E,""),"")</f>
        <v/>
      </c>
      <c r="E196" s="4"/>
      <c r="F196">
        <f>COUNTIFS(BD_CANDIDATOS!H:H,B196,BD_CANDIDATOS!K:K,A196)</f>
        <v>0</v>
      </c>
      <c r="G196">
        <f>COUNTIFS(BD_CANDIDATOS!H:H,B196,BD_CANDIDATOS!K:K,A196,BD_CANDIDATOS!N:N,"SI")</f>
        <v>0</v>
      </c>
      <c r="H196">
        <f>COUNTIFS(BD_CANDIDATOS!H:H,B196,BD_CANDIDATOS!K:K,A196,BD_CANDIDATOS!O:O,"SI")</f>
        <v>0</v>
      </c>
      <c r="I196" s="12">
        <f t="shared" si="6"/>
        <v>0</v>
      </c>
    </row>
    <row r="197" spans="3:9">
      <c r="C197" t="str">
        <f ca="1">IFERROR(_xludf.XLOOKUP(B197,BD_VACANTES!A:A,BD_VACANTES!C:C,""),"")</f>
        <v/>
      </c>
      <c r="D197" t="str">
        <f ca="1">IFERROR(_xludf.XLOOKUP(B197,BD_VACANTES!A:A,BD_VACANTES!E:E,""),"")</f>
        <v/>
      </c>
      <c r="E197" s="4"/>
      <c r="F197">
        <f>COUNTIFS(BD_CANDIDATOS!H:H,B197,BD_CANDIDATOS!K:K,A197)</f>
        <v>0</v>
      </c>
      <c r="G197">
        <f>COUNTIFS(BD_CANDIDATOS!H:H,B197,BD_CANDIDATOS!K:K,A197,BD_CANDIDATOS!N:N,"SI")</f>
        <v>0</v>
      </c>
      <c r="H197">
        <f>COUNTIFS(BD_CANDIDATOS!H:H,B197,BD_CANDIDATOS!K:K,A197,BD_CANDIDATOS!O:O,"SI")</f>
        <v>0</v>
      </c>
      <c r="I197" s="12">
        <f t="shared" si="6"/>
        <v>0</v>
      </c>
    </row>
    <row r="198" spans="3:9">
      <c r="C198" t="str">
        <f ca="1">IFERROR(_xludf.XLOOKUP(B198,BD_VACANTES!A:A,BD_VACANTES!C:C,""),"")</f>
        <v/>
      </c>
      <c r="D198" t="str">
        <f ca="1">IFERROR(_xludf.XLOOKUP(B198,BD_VACANTES!A:A,BD_VACANTES!E:E,""),"")</f>
        <v/>
      </c>
      <c r="E198" s="4"/>
      <c r="F198">
        <f>COUNTIFS(BD_CANDIDATOS!H:H,B198,BD_CANDIDATOS!K:K,A198)</f>
        <v>0</v>
      </c>
      <c r="G198">
        <f>COUNTIFS(BD_CANDIDATOS!H:H,B198,BD_CANDIDATOS!K:K,A198,BD_CANDIDATOS!N:N,"SI")</f>
        <v>0</v>
      </c>
      <c r="H198">
        <f>COUNTIFS(BD_CANDIDATOS!H:H,B198,BD_CANDIDATOS!K:K,A198,BD_CANDIDATOS!O:O,"SI")</f>
        <v>0</v>
      </c>
      <c r="I198" s="12">
        <f t="shared" si="6"/>
        <v>0</v>
      </c>
    </row>
    <row r="199" spans="3:9">
      <c r="C199" t="str">
        <f ca="1">IFERROR(_xludf.XLOOKUP(B199,BD_VACANTES!A:A,BD_VACANTES!C:C,""),"")</f>
        <v/>
      </c>
      <c r="D199" t="str">
        <f ca="1">IFERROR(_xludf.XLOOKUP(B199,BD_VACANTES!A:A,BD_VACANTES!E:E,""),"")</f>
        <v/>
      </c>
      <c r="E199" s="4"/>
      <c r="F199">
        <f>COUNTIFS(BD_CANDIDATOS!H:H,B199,BD_CANDIDATOS!K:K,A199)</f>
        <v>0</v>
      </c>
      <c r="G199">
        <f>COUNTIFS(BD_CANDIDATOS!H:H,B199,BD_CANDIDATOS!K:K,A199,BD_CANDIDATOS!N:N,"SI")</f>
        <v>0</v>
      </c>
      <c r="H199">
        <f>COUNTIFS(BD_CANDIDATOS!H:H,B199,BD_CANDIDATOS!K:K,A199,BD_CANDIDATOS!O:O,"SI")</f>
        <v>0</v>
      </c>
      <c r="I199" s="12">
        <f t="shared" si="6"/>
        <v>0</v>
      </c>
    </row>
    <row r="200" spans="3:9">
      <c r="C200" t="str">
        <f ca="1">IFERROR(_xludf.XLOOKUP(B200,BD_VACANTES!A:A,BD_VACANTES!C:C,""),"")</f>
        <v/>
      </c>
      <c r="D200" t="str">
        <f ca="1">IFERROR(_xludf.XLOOKUP(B200,BD_VACANTES!A:A,BD_VACANTES!E:E,""),"")</f>
        <v/>
      </c>
      <c r="E200" s="4"/>
      <c r="F200">
        <f>COUNTIFS(BD_CANDIDATOS!H:H,B200,BD_CANDIDATOS!K:K,A200)</f>
        <v>0</v>
      </c>
      <c r="G200">
        <f>COUNTIFS(BD_CANDIDATOS!H:H,B200,BD_CANDIDATOS!K:K,A200,BD_CANDIDATOS!N:N,"SI")</f>
        <v>0</v>
      </c>
      <c r="H200">
        <f>COUNTIFS(BD_CANDIDATOS!H:H,B200,BD_CANDIDATOS!K:K,A200,BD_CANDIDATOS!O:O,"SI")</f>
        <v>0</v>
      </c>
      <c r="I200" s="12">
        <f t="shared" si="6"/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CATALOGOS!$D$2:$D$6</xm:f>
          </x14:formula1>
          <xm:sqref>A2:A200</xm:sqref>
        </x14:dataValidation>
        <x14:dataValidation type="list" xr:uid="{00000000-0002-0000-0200-000001000000}">
          <x14:formula1>
            <xm:f>BD_VACANTES!$A$2:$A$500</xm:f>
          </x14:formula1>
          <xm:sqref>B2:B200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E18" sqref="E18"/>
    </sheetView>
  </sheetViews>
  <sheetFormatPr baseColWidth="10" defaultColWidth="8.6640625" defaultRowHeight="14"/>
  <cols>
    <col min="1" max="4" width="18" customWidth="1"/>
    <col min="5" max="5" width="20.75" bestFit="1" customWidth="1"/>
    <col min="6" max="8" width="18" customWidth="1"/>
  </cols>
  <sheetData>
    <row r="1" spans="1:8">
      <c r="A1" s="1" t="s">
        <v>41</v>
      </c>
      <c r="B1" s="1" t="s">
        <v>42</v>
      </c>
      <c r="C1" s="1" t="s">
        <v>43</v>
      </c>
      <c r="D1" s="1" t="s">
        <v>27</v>
      </c>
      <c r="E1" s="1" t="s">
        <v>2</v>
      </c>
      <c r="F1" s="1" t="s">
        <v>28</v>
      </c>
      <c r="G1" s="1" t="s">
        <v>14</v>
      </c>
      <c r="H1" s="1" t="s">
        <v>12</v>
      </c>
    </row>
    <row r="2" spans="1:8">
      <c r="A2" t="s">
        <v>44</v>
      </c>
      <c r="B2" t="s">
        <v>45</v>
      </c>
      <c r="C2" t="s">
        <v>46</v>
      </c>
      <c r="D2" t="s">
        <v>94</v>
      </c>
      <c r="E2" t="s">
        <v>84</v>
      </c>
      <c r="F2" t="s">
        <v>47</v>
      </c>
      <c r="G2" t="s">
        <v>48</v>
      </c>
      <c r="H2" t="s">
        <v>49</v>
      </c>
    </row>
    <row r="3" spans="1:8">
      <c r="A3" t="s">
        <v>50</v>
      </c>
      <c r="B3" t="s">
        <v>51</v>
      </c>
      <c r="C3" t="s">
        <v>52</v>
      </c>
      <c r="D3" t="s">
        <v>95</v>
      </c>
      <c r="E3" t="s">
        <v>85</v>
      </c>
      <c r="F3" t="s">
        <v>53</v>
      </c>
      <c r="G3" t="s">
        <v>54</v>
      </c>
      <c r="H3" t="s">
        <v>55</v>
      </c>
    </row>
    <row r="4" spans="1:8">
      <c r="A4" t="s">
        <v>56</v>
      </c>
      <c r="B4" t="s">
        <v>57</v>
      </c>
      <c r="D4" t="s">
        <v>96</v>
      </c>
      <c r="E4" t="s">
        <v>86</v>
      </c>
      <c r="F4" t="s">
        <v>58</v>
      </c>
      <c r="G4" t="s">
        <v>59</v>
      </c>
      <c r="H4" t="s">
        <v>60</v>
      </c>
    </row>
    <row r="5" spans="1:8">
      <c r="A5" t="s">
        <v>61</v>
      </c>
      <c r="B5" t="s">
        <v>30</v>
      </c>
      <c r="D5" t="s">
        <v>97</v>
      </c>
      <c r="E5" t="s">
        <v>87</v>
      </c>
      <c r="F5" t="s">
        <v>62</v>
      </c>
    </row>
    <row r="6" spans="1:8">
      <c r="A6" t="s">
        <v>63</v>
      </c>
      <c r="B6" t="s">
        <v>64</v>
      </c>
      <c r="D6" t="s">
        <v>99</v>
      </c>
      <c r="E6" t="s">
        <v>88</v>
      </c>
      <c r="F6" t="s">
        <v>65</v>
      </c>
    </row>
    <row r="7" spans="1:8">
      <c r="B7" t="s">
        <v>31</v>
      </c>
      <c r="D7" t="s">
        <v>98</v>
      </c>
      <c r="E7" t="s">
        <v>89</v>
      </c>
      <c r="F7" t="s">
        <v>66</v>
      </c>
    </row>
    <row r="8" spans="1:8">
      <c r="B8" t="s">
        <v>67</v>
      </c>
      <c r="E8" t="s">
        <v>90</v>
      </c>
    </row>
    <row r="9" spans="1:8">
      <c r="E9" t="s">
        <v>91</v>
      </c>
    </row>
    <row r="10" spans="1:8">
      <c r="E10" t="s">
        <v>92</v>
      </c>
    </row>
    <row r="11" spans="1:8">
      <c r="E11" t="s">
        <v>93</v>
      </c>
    </row>
    <row r="12" spans="1:8">
      <c r="E12" t="s">
        <v>101</v>
      </c>
    </row>
    <row r="13" spans="1:8">
      <c r="E13" t="s">
        <v>100</v>
      </c>
    </row>
    <row r="14" spans="1:8">
      <c r="E14" t="s">
        <v>102</v>
      </c>
    </row>
    <row r="15" spans="1:8">
      <c r="E15" t="s">
        <v>103</v>
      </c>
    </row>
    <row r="16" spans="1:8">
      <c r="E16" t="s">
        <v>105</v>
      </c>
    </row>
    <row r="17" spans="5:5">
      <c r="E17" t="s">
        <v>106</v>
      </c>
    </row>
  </sheetData>
  <sheetProtection algorithmName="SHA-512" hashValue="2Er8QtB6uOWgdLU38iBKsNqCmfATZ90/IquczSlD72AWujGIWGm2uhCwgRKiUGREqYcnM+7kge/oMrJ/aUN7bQ==" saltValue="DMQp+aN7fQKwT8d/p6Fs9Q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topLeftCell="A2" workbookViewId="0">
      <selection activeCell="D10" sqref="D10"/>
    </sheetView>
  </sheetViews>
  <sheetFormatPr baseColWidth="10" defaultColWidth="8.6640625" defaultRowHeight="14"/>
  <cols>
    <col min="1" max="8" width="18" customWidth="1"/>
  </cols>
  <sheetData>
    <row r="1" spans="1:8" ht="18.649999999999999" customHeight="1">
      <c r="A1" s="18" t="s">
        <v>68</v>
      </c>
      <c r="B1" s="19"/>
      <c r="C1" s="19"/>
      <c r="D1" s="19"/>
      <c r="E1" s="19"/>
      <c r="F1" s="19"/>
      <c r="G1" s="19"/>
      <c r="H1" s="19"/>
    </row>
    <row r="2" spans="1:8">
      <c r="A2" s="5"/>
      <c r="B2" s="5"/>
      <c r="C2" s="5"/>
      <c r="D2" s="5"/>
      <c r="E2" s="5"/>
      <c r="F2" s="5"/>
      <c r="G2" s="5"/>
      <c r="H2" s="5"/>
    </row>
    <row r="3" spans="1:8" ht="28.5">
      <c r="A3" s="13" t="s">
        <v>69</v>
      </c>
      <c r="B3" s="14">
        <f>COUNTIF(BD_VACANTES!A:A,"VAC-*")</f>
        <v>0</v>
      </c>
      <c r="C3" s="5"/>
      <c r="D3" s="2" t="s">
        <v>70</v>
      </c>
      <c r="E3" s="2" t="s">
        <v>71</v>
      </c>
      <c r="F3" s="5"/>
      <c r="G3" s="5"/>
      <c r="H3" s="5"/>
    </row>
    <row r="4" spans="1:8" ht="15.5">
      <c r="A4" s="13" t="s">
        <v>72</v>
      </c>
      <c r="B4" s="14">
        <f>COUNTIF(BD_VACANTES!Q:Q,"ABIERTA")</f>
        <v>0</v>
      </c>
      <c r="C4" s="5"/>
      <c r="D4" s="5" t="s">
        <v>44</v>
      </c>
      <c r="E4" s="5">
        <f>COUNTIF(BD_VACANTES!Q:Q,D4)</f>
        <v>0</v>
      </c>
      <c r="F4" s="5"/>
      <c r="G4" s="5"/>
      <c r="H4" s="5"/>
    </row>
    <row r="5" spans="1:8" ht="15.5">
      <c r="A5" s="13" t="s">
        <v>73</v>
      </c>
      <c r="B5" s="14">
        <f>COUNTIF(BD_VACANTES!Q:Q,"CUBIERTA")</f>
        <v>0</v>
      </c>
      <c r="C5" s="5"/>
      <c r="D5" s="5" t="s">
        <v>50</v>
      </c>
      <c r="E5" s="5">
        <f>COUNTIF(BD_VACANTES!Q:Q,D5)</f>
        <v>0</v>
      </c>
      <c r="F5" s="5"/>
      <c r="G5" s="5"/>
      <c r="H5" s="5"/>
    </row>
    <row r="6" spans="1:8" ht="28.5">
      <c r="A6" s="13" t="s">
        <v>74</v>
      </c>
      <c r="B6" s="14">
        <f>COUNTIF(BD_CANDIDATOS!A:A,"CAN-*")</f>
        <v>0</v>
      </c>
      <c r="C6" s="5"/>
      <c r="D6" s="5" t="s">
        <v>56</v>
      </c>
      <c r="E6" s="5">
        <f>COUNTIF(BD_VACANTES!Q:Q,D6)</f>
        <v>0</v>
      </c>
      <c r="F6" s="5"/>
      <c r="G6" s="5"/>
      <c r="H6" s="5"/>
    </row>
    <row r="7" spans="1:8" ht="15.5">
      <c r="A7" s="13" t="s">
        <v>75</v>
      </c>
      <c r="B7" s="14">
        <f>COUNTIF(BD_CANDIDATOS!N:N,"SI")</f>
        <v>0</v>
      </c>
      <c r="C7" s="5"/>
      <c r="D7" s="5" t="s">
        <v>61</v>
      </c>
      <c r="E7" s="5">
        <f>COUNTIF(BD_VACANTES!Q:Q,D7)</f>
        <v>0</v>
      </c>
      <c r="F7" s="5"/>
      <c r="G7" s="5"/>
      <c r="H7" s="5"/>
    </row>
    <row r="8" spans="1:8" ht="15.5">
      <c r="A8" s="13" t="s">
        <v>76</v>
      </c>
      <c r="B8" s="14">
        <f>COUNTIF(BD_CANDIDATOS!O:O,"SI")</f>
        <v>0</v>
      </c>
      <c r="C8" s="5"/>
      <c r="D8" s="5" t="s">
        <v>63</v>
      </c>
      <c r="E8" s="5">
        <f>COUNTIF(BD_VACANTES!Q:Q,D8)</f>
        <v>0</v>
      </c>
      <c r="F8" s="5"/>
      <c r="G8" s="5"/>
      <c r="H8" s="5"/>
    </row>
    <row r="9" spans="1:8" ht="42.5">
      <c r="A9" s="13" t="s">
        <v>77</v>
      </c>
      <c r="B9" s="15">
        <f>IFERROR(B8/B6,0)</f>
        <v>0</v>
      </c>
      <c r="C9" s="5"/>
      <c r="D9" s="5"/>
      <c r="E9" s="5"/>
      <c r="F9" s="5"/>
      <c r="G9" s="5"/>
      <c r="H9" s="5"/>
    </row>
    <row r="10" spans="1:8" ht="28.5">
      <c r="A10" s="13" t="s">
        <v>78</v>
      </c>
      <c r="B10" s="16">
        <f>IFERROR(AVERAGEIF(BD_VACANTES!Q:Q,"CUBIERTA",BD_VACANTES!S:S),0)</f>
        <v>0</v>
      </c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10" t="s">
        <v>79</v>
      </c>
      <c r="B13" s="10" t="s">
        <v>80</v>
      </c>
      <c r="C13" s="10" t="s">
        <v>81</v>
      </c>
      <c r="D13" s="10" t="s">
        <v>76</v>
      </c>
      <c r="E13" s="10" t="s">
        <v>82</v>
      </c>
      <c r="F13" s="5"/>
      <c r="G13" s="5"/>
      <c r="H13" s="5"/>
    </row>
    <row r="14" spans="1:8">
      <c r="A14" s="5" t="str">
        <f>CATALOGOS!D2</f>
        <v>Monica Soto</v>
      </c>
      <c r="B14" s="5">
        <f>SUMIF(BD_RECLUTADORES!A:A,A14,BD_RECLUTADORES!F:F)</f>
        <v>0</v>
      </c>
      <c r="C14" s="5">
        <f>SUMIF(BD_RECLUTADORES!A:A,A14,BD_RECLUTADORES!G:G)</f>
        <v>0</v>
      </c>
      <c r="D14" s="5">
        <f>SUMIF(BD_RECLUTADORES!A:A,A14,BD_RECLUTADORES!H:H)</f>
        <v>0</v>
      </c>
      <c r="E14" s="17">
        <f>IFERROR(D14/B14,0)</f>
        <v>0</v>
      </c>
      <c r="F14" s="5"/>
      <c r="G14" s="5"/>
      <c r="H14" s="5"/>
    </row>
    <row r="15" spans="1:8">
      <c r="A15" s="5" t="str">
        <f>CATALOGOS!D3</f>
        <v>Pricila de Leòn</v>
      </c>
      <c r="B15" s="5">
        <f>SUMIF(BD_RECLUTADORES!A:A,A15,BD_RECLUTADORES!F:F)</f>
        <v>0</v>
      </c>
      <c r="C15" s="5">
        <f>SUMIF(BD_RECLUTADORES!A:A,A15,BD_RECLUTADORES!G:G)</f>
        <v>0</v>
      </c>
      <c r="D15" s="5">
        <f>SUMIF(BD_RECLUTADORES!A:A,A15,BD_RECLUTADORES!H:H)</f>
        <v>0</v>
      </c>
      <c r="E15" s="17">
        <f>IFERROR(D15/B15,0)</f>
        <v>0</v>
      </c>
      <c r="F15" s="5"/>
      <c r="G15" s="5"/>
      <c r="H15" s="5"/>
    </row>
    <row r="16" spans="1:8">
      <c r="A16" s="5" t="str">
        <f>CATALOGOS!D4</f>
        <v>Belem Gonzalez</v>
      </c>
      <c r="B16" s="5">
        <f>SUMIF(BD_RECLUTADORES!A:A,A16,BD_RECLUTADORES!F:F)</f>
        <v>0</v>
      </c>
      <c r="C16" s="5">
        <f>SUMIF(BD_RECLUTADORES!A:A,A16,BD_RECLUTADORES!G:G)</f>
        <v>0</v>
      </c>
      <c r="D16" s="5">
        <f>SUMIF(BD_RECLUTADORES!A:A,A16,BD_RECLUTADORES!H:H)</f>
        <v>0</v>
      </c>
      <c r="E16" s="17">
        <f>IFERROR(D16/B16,0)</f>
        <v>0</v>
      </c>
      <c r="F16" s="5"/>
      <c r="G16" s="5"/>
      <c r="H16" s="5"/>
    </row>
    <row r="17" spans="1:8" ht="28">
      <c r="A17" s="5" t="str">
        <f>CATALOGOS!D5</f>
        <v>Servando Heriberto Moreno</v>
      </c>
      <c r="B17" s="5">
        <f>SUMIF(BD_RECLUTADORES!A:A,A17,BD_RECLUTADORES!F:F)</f>
        <v>0</v>
      </c>
      <c r="C17" s="5">
        <f>SUMIF(BD_RECLUTADORES!A:A,A17,BD_RECLUTADORES!G:G)</f>
        <v>0</v>
      </c>
      <c r="D17" s="5">
        <f>SUMIF(BD_RECLUTADORES!A:A,A17,BD_RECLUTADORES!H:H)</f>
        <v>0</v>
      </c>
      <c r="E17" s="17">
        <f>IFERROR(D17/B17,0)</f>
        <v>0</v>
      </c>
      <c r="F17" s="5"/>
      <c r="G17" s="5"/>
      <c r="H17" s="5"/>
    </row>
    <row r="18" spans="1:8">
      <c r="A18" s="5" t="str">
        <f>CATALOGOS!D6</f>
        <v>Aaron Vazquez</v>
      </c>
      <c r="B18" s="5">
        <f>SUMIF(BD_RECLUTADORES!A:A,A18,BD_RECLUTADORES!F:F)</f>
        <v>0</v>
      </c>
      <c r="C18" s="5">
        <f>SUMIF(BD_RECLUTADORES!A:A,A18,BD_RECLUTADORES!G:G)</f>
        <v>0</v>
      </c>
      <c r="D18" s="5">
        <f>SUMIF(BD_RECLUTADORES!A:A,A18,BD_RECLUTADORES!H:H)</f>
        <v>0</v>
      </c>
      <c r="E18" s="17">
        <f>IFERROR(D18/B18,0)</f>
        <v>0</v>
      </c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 ht="14.5">
      <c r="A21" s="20" t="s">
        <v>83</v>
      </c>
      <c r="B21" s="19"/>
      <c r="C21" s="19"/>
      <c r="D21" s="19"/>
      <c r="E21" s="19"/>
      <c r="F21" s="19"/>
      <c r="G21" s="19"/>
      <c r="H21" s="19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</sheetData>
  <sheetProtection algorithmName="SHA-512" hashValue="P5VVAwyIBt8jhy7+bUcpT1BZePDiDas1AIJf8FS1Xzdmv/Nqn1+mfxI3oj9AmEuIv0EM+QzwI7Jza+Xq1H1x/g==" saltValue="k9dbxBpin6RjdHzUZgQL9g==" spinCount="100000" sheet="1" objects="1" scenarios="1"/>
  <mergeCells count="2">
    <mergeCell ref="A1:H1"/>
    <mergeCell ref="A21:H2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BD_VACANTES</vt:lpstr>
      <vt:lpstr>BD_CANDIDATOS</vt:lpstr>
      <vt:lpstr>BD_RECLUTADORES</vt:lpstr>
      <vt:lpstr>CATALOGOS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EDGAR ANTONIO RODRIGUEZ LOZANO</cp:lastModifiedBy>
  <dcterms:created xsi:type="dcterms:W3CDTF">2026-06-22T21:39:46Z</dcterms:created>
  <dcterms:modified xsi:type="dcterms:W3CDTF">2026-06-22T23:31:56Z</dcterms:modified>
</cp:coreProperties>
</file>