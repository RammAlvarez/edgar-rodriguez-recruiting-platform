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rls\Desktop\MAS NOMINAS\NOMINAS 2026\"/>
    </mc:Choice>
  </mc:AlternateContent>
  <xr:revisionPtr revIDLastSave="0" documentId="13_ncr:1_{30A31D8B-1B30-4F85-A6F2-4C82D388D7D8}" xr6:coauthVersionLast="47" xr6:coauthVersionMax="47" xr10:uidLastSave="{00000000-0000-0000-0000-000000000000}"/>
  <bookViews>
    <workbookView xWindow="-120" yWindow="-120" windowWidth="20730" windowHeight="11040" tabRatio="586" xr2:uid="{00000000-000D-0000-FFFF-FFFF00000000}"/>
  </bookViews>
  <sheets>
    <sheet name="SEM 38" sheetId="1" r:id="rId1"/>
    <sheet name="Hoja2" sheetId="5" r:id="rId2"/>
    <sheet name="Hoja1" sheetId="4" r:id="rId3"/>
    <sheet name="Formula" sheetId="2" state="hidden" r:id="rId4"/>
  </sheets>
  <definedNames>
    <definedName name="_xlnm._FilterDatabase" localSheetId="0" hidden="1">'SEM 38'!$B$5:$Y$121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1" i="1" l="1"/>
  <c r="T120" i="1"/>
  <c r="L120" i="1"/>
  <c r="K120" i="1"/>
  <c r="T119" i="1"/>
  <c r="L119" i="1"/>
  <c r="K119" i="1"/>
  <c r="T118" i="1"/>
  <c r="L118" i="1"/>
  <c r="K118" i="1"/>
  <c r="T117" i="1"/>
  <c r="L117" i="1"/>
  <c r="K117" i="1"/>
  <c r="T116" i="1"/>
  <c r="L116" i="1"/>
  <c r="K116" i="1"/>
  <c r="M110" i="1"/>
  <c r="P109" i="1"/>
  <c r="M109" i="1"/>
  <c r="M111" i="1"/>
  <c r="M108" i="1"/>
  <c r="N107" i="1"/>
  <c r="M107" i="1"/>
  <c r="M49" i="1"/>
  <c r="M105" i="1"/>
  <c r="N99" i="1"/>
  <c r="M99" i="1"/>
  <c r="N53" i="1"/>
  <c r="M53" i="1"/>
  <c r="M95" i="1"/>
  <c r="M93" i="1"/>
  <c r="N87" i="1"/>
  <c r="M87" i="1"/>
  <c r="M91" i="1"/>
  <c r="N78" i="1"/>
  <c r="M78" i="1"/>
  <c r="M62" i="1"/>
  <c r="M63" i="1"/>
  <c r="M77" i="1"/>
  <c r="M42" i="1"/>
  <c r="M83" i="1"/>
  <c r="M75" i="1"/>
  <c r="M45" i="1"/>
  <c r="M40" i="1"/>
  <c r="M57" i="1"/>
  <c r="M86" i="1"/>
  <c r="P85" i="1"/>
  <c r="M85" i="1"/>
  <c r="M82" i="1"/>
  <c r="M33" i="1"/>
  <c r="N81" i="1"/>
  <c r="M81" i="1"/>
  <c r="M24" i="1"/>
  <c r="N65" i="1"/>
  <c r="M65" i="1"/>
  <c r="N8" i="1"/>
  <c r="M55" i="1"/>
  <c r="P94" i="1"/>
  <c r="M94" i="1"/>
  <c r="P104" i="1"/>
  <c r="M104" i="1"/>
  <c r="P30" i="1"/>
  <c r="M30" i="1"/>
  <c r="M113" i="1"/>
  <c r="M106" i="1"/>
  <c r="M102" i="1"/>
  <c r="M101" i="1"/>
  <c r="N92" i="1"/>
  <c r="M92" i="1"/>
  <c r="M89" i="1"/>
  <c r="M97" i="1"/>
  <c r="M88" i="1"/>
  <c r="M79" i="1"/>
  <c r="M50" i="1"/>
  <c r="M13" i="1"/>
  <c r="M72" i="1"/>
  <c r="M17" i="1"/>
  <c r="M16" i="1"/>
  <c r="M74" i="1"/>
  <c r="N35" i="1"/>
  <c r="P56" i="1"/>
  <c r="M56" i="1"/>
  <c r="M20" i="1"/>
  <c r="M64" i="1"/>
  <c r="P66" i="1"/>
  <c r="M66" i="1"/>
  <c r="M18" i="1"/>
  <c r="M114" i="1"/>
  <c r="M84" i="1"/>
  <c r="M52" i="1"/>
  <c r="P37" i="1"/>
  <c r="M37" i="1"/>
  <c r="M14" i="1"/>
  <c r="N48" i="1"/>
  <c r="M48" i="1"/>
  <c r="M39" i="1"/>
  <c r="M9" i="1"/>
  <c r="M25" i="1"/>
  <c r="N41" i="1"/>
  <c r="M41" i="1"/>
  <c r="M10" i="1"/>
  <c r="M26" i="1"/>
  <c r="M58" i="1"/>
  <c r="N19" i="1"/>
  <c r="M19" i="1"/>
  <c r="M11" i="1"/>
  <c r="M43" i="1"/>
  <c r="M12" i="1"/>
  <c r="T51" i="1"/>
  <c r="T115" i="1"/>
  <c r="L115" i="1"/>
  <c r="K115" i="1"/>
  <c r="T114" i="1"/>
  <c r="L114" i="1"/>
  <c r="K114" i="1"/>
  <c r="T113" i="1"/>
  <c r="L113" i="1"/>
  <c r="K113" i="1"/>
  <c r="T112" i="1"/>
  <c r="L112" i="1"/>
  <c r="K112" i="1"/>
  <c r="T111" i="1"/>
  <c r="L111" i="1"/>
  <c r="K111" i="1"/>
  <c r="T110" i="1"/>
  <c r="L110" i="1"/>
  <c r="K110" i="1"/>
  <c r="T109" i="1"/>
  <c r="L109" i="1"/>
  <c r="K109" i="1"/>
  <c r="T108" i="1"/>
  <c r="L108" i="1"/>
  <c r="K108" i="1"/>
  <c r="V120" i="1" l="1"/>
  <c r="V118" i="1"/>
  <c r="V117" i="1"/>
  <c r="V116" i="1"/>
  <c r="V119" i="1"/>
  <c r="V111" i="1"/>
  <c r="V115" i="1"/>
  <c r="V110" i="1"/>
  <c r="V112" i="1"/>
  <c r="V114" i="1"/>
  <c r="V109" i="1"/>
  <c r="V113" i="1"/>
  <c r="V108" i="1"/>
  <c r="T107" i="1"/>
  <c r="L107" i="1"/>
  <c r="K107" i="1"/>
  <c r="V107" i="1" l="1"/>
  <c r="T94" i="1" l="1"/>
  <c r="L94" i="1"/>
  <c r="K94" i="1"/>
  <c r="T106" i="1"/>
  <c r="L106" i="1"/>
  <c r="K106" i="1"/>
  <c r="T105" i="1"/>
  <c r="L105" i="1"/>
  <c r="K105" i="1"/>
  <c r="T104" i="1"/>
  <c r="L104" i="1"/>
  <c r="K104" i="1"/>
  <c r="T103" i="1"/>
  <c r="L103" i="1"/>
  <c r="K103" i="1"/>
  <c r="T102" i="1"/>
  <c r="L102" i="1"/>
  <c r="K102" i="1"/>
  <c r="V94" i="1" l="1"/>
  <c r="V106" i="1"/>
  <c r="V105" i="1"/>
  <c r="V104" i="1"/>
  <c r="V102" i="1"/>
  <c r="V103" i="1"/>
  <c r="T101" i="1" l="1"/>
  <c r="L101" i="1"/>
  <c r="K101" i="1"/>
  <c r="T100" i="1"/>
  <c r="L100" i="1"/>
  <c r="K100" i="1"/>
  <c r="V101" i="1" l="1"/>
  <c r="V100" i="1"/>
  <c r="T99" i="1" l="1"/>
  <c r="L99" i="1"/>
  <c r="K99" i="1"/>
  <c r="T98" i="1"/>
  <c r="L98" i="1"/>
  <c r="K98" i="1"/>
  <c r="T97" i="1"/>
  <c r="L97" i="1"/>
  <c r="K97" i="1"/>
  <c r="T96" i="1"/>
  <c r="L96" i="1"/>
  <c r="K96" i="1"/>
  <c r="V99" i="1" l="1"/>
  <c r="V96" i="1"/>
  <c r="V97" i="1"/>
  <c r="V98" i="1"/>
  <c r="T95" i="1" l="1"/>
  <c r="L95" i="1"/>
  <c r="K95" i="1"/>
  <c r="V95" i="1" l="1"/>
  <c r="T93" i="1" l="1"/>
  <c r="L93" i="1"/>
  <c r="K93" i="1"/>
  <c r="T92" i="1"/>
  <c r="L92" i="1"/>
  <c r="K92" i="1"/>
  <c r="V92" i="1" l="1"/>
  <c r="V93" i="1"/>
  <c r="T91" i="1"/>
  <c r="L91" i="1"/>
  <c r="K91" i="1"/>
  <c r="T90" i="1"/>
  <c r="L90" i="1"/>
  <c r="K90" i="1"/>
  <c r="T89" i="1"/>
  <c r="L89" i="1"/>
  <c r="K89" i="1"/>
  <c r="V91" i="1" l="1"/>
  <c r="V90" i="1"/>
  <c r="V89" i="1"/>
  <c r="T88" i="1"/>
  <c r="L88" i="1"/>
  <c r="K88" i="1"/>
  <c r="T87" i="1"/>
  <c r="L87" i="1"/>
  <c r="K87" i="1"/>
  <c r="T86" i="1"/>
  <c r="L86" i="1"/>
  <c r="K86" i="1"/>
  <c r="V88" i="1" l="1"/>
  <c r="V87" i="1"/>
  <c r="V86" i="1"/>
  <c r="T85" i="1" l="1"/>
  <c r="L85" i="1"/>
  <c r="K85" i="1"/>
  <c r="T84" i="1"/>
  <c r="L84" i="1"/>
  <c r="K84" i="1"/>
  <c r="V84" i="1" l="1"/>
  <c r="V85" i="1"/>
  <c r="T83" i="1" l="1"/>
  <c r="L83" i="1"/>
  <c r="K83" i="1"/>
  <c r="V83" i="1" l="1"/>
  <c r="T82" i="1"/>
  <c r="L82" i="1"/>
  <c r="K82" i="1"/>
  <c r="T81" i="1"/>
  <c r="L81" i="1"/>
  <c r="K81" i="1"/>
  <c r="V81" i="1" l="1"/>
  <c r="V82" i="1"/>
  <c r="T80" i="1" l="1"/>
  <c r="L80" i="1"/>
  <c r="K80" i="1"/>
  <c r="T79" i="1"/>
  <c r="L79" i="1"/>
  <c r="K79" i="1"/>
  <c r="L51" i="1"/>
  <c r="K51" i="1"/>
  <c r="T78" i="1"/>
  <c r="L78" i="1"/>
  <c r="K78" i="1"/>
  <c r="V80" i="1" l="1"/>
  <c r="V79" i="1"/>
  <c r="V78" i="1"/>
  <c r="T77" i="1" l="1"/>
  <c r="L77" i="1"/>
  <c r="K77" i="1"/>
  <c r="T76" i="1"/>
  <c r="L76" i="1"/>
  <c r="K76" i="1"/>
  <c r="T75" i="1"/>
  <c r="L75" i="1"/>
  <c r="K75" i="1"/>
  <c r="V77" i="1" l="1"/>
  <c r="V76" i="1"/>
  <c r="V75" i="1"/>
  <c r="T74" i="1" l="1"/>
  <c r="L74" i="1"/>
  <c r="K74" i="1"/>
  <c r="T73" i="1"/>
  <c r="L73" i="1"/>
  <c r="K73" i="1"/>
  <c r="V73" i="1" l="1"/>
  <c r="V74" i="1"/>
  <c r="T72" i="1" l="1"/>
  <c r="L72" i="1"/>
  <c r="K72" i="1"/>
  <c r="V72" i="1" l="1"/>
  <c r="T71" i="1"/>
  <c r="L71" i="1"/>
  <c r="K71" i="1"/>
  <c r="V71" i="1" l="1"/>
  <c r="T70" i="1" l="1"/>
  <c r="L70" i="1"/>
  <c r="K70" i="1"/>
  <c r="V70" i="1" l="1"/>
  <c r="T69" i="1" l="1"/>
  <c r="L69" i="1"/>
  <c r="K69" i="1"/>
  <c r="V69" i="1" l="1"/>
  <c r="T68" i="1" l="1"/>
  <c r="L68" i="1"/>
  <c r="K68" i="1"/>
  <c r="V68" i="1" l="1"/>
  <c r="T67" i="1" l="1"/>
  <c r="L67" i="1"/>
  <c r="K67" i="1"/>
  <c r="V67" i="1" l="1"/>
  <c r="T66" i="1"/>
  <c r="L66" i="1"/>
  <c r="K66" i="1"/>
  <c r="V66" i="1" l="1"/>
  <c r="T65" i="1"/>
  <c r="L65" i="1"/>
  <c r="K65" i="1"/>
  <c r="V65" i="1" l="1"/>
  <c r="T64" i="1" l="1"/>
  <c r="L64" i="1"/>
  <c r="K64" i="1"/>
  <c r="V64" i="1" l="1"/>
  <c r="T63" i="1" l="1"/>
  <c r="L63" i="1"/>
  <c r="K63" i="1"/>
  <c r="T62" i="1"/>
  <c r="L62" i="1"/>
  <c r="K62" i="1"/>
  <c r="V63" i="1" l="1"/>
  <c r="V62" i="1"/>
  <c r="T61" i="1" l="1"/>
  <c r="L61" i="1"/>
  <c r="K61" i="1"/>
  <c r="T60" i="1"/>
  <c r="L60" i="1"/>
  <c r="K60" i="1"/>
  <c r="V61" i="1" l="1"/>
  <c r="V60" i="1"/>
  <c r="T59" i="1" l="1"/>
  <c r="L59" i="1"/>
  <c r="K59" i="1"/>
  <c r="T58" i="1"/>
  <c r="L58" i="1"/>
  <c r="K58" i="1"/>
  <c r="T57" i="1"/>
  <c r="L57" i="1"/>
  <c r="K57" i="1"/>
  <c r="T56" i="1"/>
  <c r="L56" i="1"/>
  <c r="K56" i="1"/>
  <c r="T55" i="1"/>
  <c r="L55" i="1"/>
  <c r="K55" i="1"/>
  <c r="V59" i="1" l="1"/>
  <c r="V58" i="1"/>
  <c r="V57" i="1"/>
  <c r="V56" i="1"/>
  <c r="V55" i="1"/>
  <c r="T54" i="1" l="1"/>
  <c r="L54" i="1"/>
  <c r="K54" i="1"/>
  <c r="V54" i="1" l="1"/>
  <c r="T53" i="1"/>
  <c r="L53" i="1"/>
  <c r="K53" i="1"/>
  <c r="T52" i="1"/>
  <c r="L52" i="1"/>
  <c r="K52" i="1"/>
  <c r="V53" i="1" l="1"/>
  <c r="V52" i="1"/>
  <c r="V51" i="1" l="1"/>
  <c r="T50" i="1" l="1"/>
  <c r="L50" i="1"/>
  <c r="K50" i="1"/>
  <c r="V50" i="1" l="1"/>
  <c r="T49" i="1" l="1"/>
  <c r="L49" i="1"/>
  <c r="K49" i="1"/>
  <c r="T48" i="1"/>
  <c r="L48" i="1"/>
  <c r="K48" i="1"/>
  <c r="V49" i="1" l="1"/>
  <c r="V48" i="1"/>
  <c r="T47" i="1" l="1"/>
  <c r="L47" i="1"/>
  <c r="K47" i="1"/>
  <c r="V47" i="1" l="1"/>
  <c r="T46" i="1" l="1"/>
  <c r="L46" i="1"/>
  <c r="K46" i="1"/>
  <c r="V46" i="1" l="1"/>
  <c r="T45" i="1" l="1"/>
  <c r="L45" i="1"/>
  <c r="K45" i="1"/>
  <c r="T44" i="1"/>
  <c r="L44" i="1"/>
  <c r="K44" i="1"/>
  <c r="V45" i="1" l="1"/>
  <c r="V44" i="1"/>
  <c r="T43" i="1" l="1"/>
  <c r="L43" i="1"/>
  <c r="K43" i="1"/>
  <c r="V43" i="1" l="1"/>
  <c r="T42" i="1"/>
  <c r="L42" i="1"/>
  <c r="K42" i="1"/>
  <c r="V42" i="1" l="1"/>
  <c r="T41" i="1" l="1"/>
  <c r="L41" i="1"/>
  <c r="K41" i="1"/>
  <c r="V41" i="1" l="1"/>
  <c r="T40" i="1" l="1"/>
  <c r="L40" i="1"/>
  <c r="K40" i="1"/>
  <c r="V40" i="1" l="1"/>
  <c r="T39" i="1" l="1"/>
  <c r="L39" i="1"/>
  <c r="K39" i="1"/>
  <c r="T38" i="1"/>
  <c r="L38" i="1"/>
  <c r="K38" i="1"/>
  <c r="V38" i="1" l="1"/>
  <c r="V39" i="1"/>
  <c r="T14" i="1"/>
  <c r="T6" i="1"/>
  <c r="T11" i="1"/>
  <c r="T7" i="1"/>
  <c r="T8" i="1"/>
  <c r="T9" i="1"/>
  <c r="T15" i="1"/>
  <c r="T10" i="1"/>
  <c r="T13" i="1"/>
  <c r="T12" i="1"/>
  <c r="T16" i="1"/>
  <c r="T17" i="1"/>
  <c r="T27" i="1"/>
  <c r="T18" i="1"/>
  <c r="T19" i="1"/>
  <c r="T21" i="1"/>
  <c r="T20" i="1"/>
  <c r="T22" i="1"/>
  <c r="T23" i="1"/>
  <c r="T24" i="1"/>
  <c r="T25" i="1"/>
  <c r="T26" i="1"/>
  <c r="T28" i="1"/>
  <c r="T29" i="1"/>
  <c r="T30" i="1"/>
  <c r="T31" i="1"/>
  <c r="T32" i="1"/>
  <c r="T33" i="1"/>
  <c r="T34" i="1"/>
  <c r="T35" i="1"/>
  <c r="T36" i="1"/>
  <c r="T37" i="1"/>
  <c r="L37" i="1"/>
  <c r="K37" i="1"/>
  <c r="V37" i="1" l="1"/>
  <c r="L36" i="1" l="1"/>
  <c r="K36" i="1"/>
  <c r="L35" i="1"/>
  <c r="K35" i="1"/>
  <c r="L29" i="1"/>
  <c r="K29" i="1"/>
  <c r="V29" i="1" l="1"/>
  <c r="V35" i="1"/>
  <c r="V36" i="1"/>
  <c r="L34" i="1"/>
  <c r="K34" i="1"/>
  <c r="L33" i="1"/>
  <c r="K33" i="1"/>
  <c r="L32" i="1"/>
  <c r="K32" i="1"/>
  <c r="L30" i="1"/>
  <c r="K30" i="1"/>
  <c r="L31" i="1"/>
  <c r="K31" i="1"/>
  <c r="V30" i="1" l="1"/>
  <c r="V32" i="1"/>
  <c r="V33" i="1"/>
  <c r="V31" i="1"/>
  <c r="V34" i="1"/>
  <c r="L28" i="1"/>
  <c r="K28" i="1"/>
  <c r="V28" i="1" l="1"/>
  <c r="L26" i="1" l="1"/>
  <c r="K26" i="1"/>
  <c r="L25" i="1"/>
  <c r="K25" i="1"/>
  <c r="V26" i="1" l="1"/>
  <c r="V25" i="1"/>
  <c r="L24" i="1" l="1"/>
  <c r="K24" i="1"/>
  <c r="L23" i="1"/>
  <c r="K23" i="1"/>
  <c r="V24" i="1" l="1"/>
  <c r="V23" i="1"/>
  <c r="L21" i="1" l="1"/>
  <c r="K21" i="1"/>
  <c r="V21" i="1" l="1"/>
  <c r="L22" i="1" l="1"/>
  <c r="K22" i="1"/>
  <c r="V22" i="1" l="1"/>
  <c r="L27" i="1" l="1"/>
  <c r="K27" i="1"/>
  <c r="V27" i="1" l="1"/>
  <c r="L20" i="1" l="1"/>
  <c r="K20" i="1"/>
  <c r="V20" i="1" l="1"/>
  <c r="L19" i="1"/>
  <c r="K19" i="1"/>
  <c r="V19" i="1" l="1"/>
  <c r="L10" i="1"/>
  <c r="K10" i="1"/>
  <c r="L6" i="1"/>
  <c r="K6" i="1"/>
  <c r="L13" i="1"/>
  <c r="K13" i="1"/>
  <c r="L17" i="1"/>
  <c r="K17" i="1"/>
  <c r="L16" i="1"/>
  <c r="K16" i="1"/>
  <c r="L12" i="1"/>
  <c r="K12" i="1"/>
  <c r="L9" i="1"/>
  <c r="K9" i="1"/>
  <c r="L14" i="1"/>
  <c r="K14" i="1"/>
  <c r="V13" i="1" l="1"/>
  <c r="V9" i="1"/>
  <c r="V10" i="1"/>
  <c r="V14" i="1"/>
  <c r="V12" i="1"/>
  <c r="V16" i="1"/>
  <c r="V17" i="1"/>
  <c r="V6" i="1"/>
  <c r="L18" i="1"/>
  <c r="K18" i="1"/>
  <c r="V18" i="1" l="1"/>
  <c r="L15" i="1" l="1"/>
  <c r="L11" i="1" l="1"/>
  <c r="K11" i="1"/>
  <c r="V11" i="1" l="1"/>
  <c r="K15" i="1"/>
  <c r="V15" i="1" s="1"/>
  <c r="L8" i="1" l="1"/>
  <c r="L7" i="1" l="1"/>
  <c r="O5" i="2" l="1"/>
  <c r="N5" i="2"/>
  <c r="O4" i="2"/>
  <c r="N4" i="2"/>
  <c r="O7" i="2"/>
  <c r="O8" i="2" s="1"/>
  <c r="N8" i="2"/>
  <c r="N7" i="2"/>
  <c r="T5" i="2"/>
  <c r="M5" i="2"/>
  <c r="L5" i="2"/>
  <c r="U5" i="2" l="1"/>
  <c r="T4" i="2" l="1"/>
  <c r="M4" i="2"/>
  <c r="L4" i="2"/>
  <c r="U4" i="2" s="1"/>
  <c r="K8" i="1" l="1"/>
  <c r="V8" i="1" s="1"/>
  <c r="K7" i="1" l="1"/>
  <c r="V7" i="1" l="1"/>
  <c r="V121" i="1" s="1"/>
</calcChain>
</file>

<file path=xl/sharedStrings.xml><?xml version="1.0" encoding="utf-8"?>
<sst xmlns="http://schemas.openxmlformats.org/spreadsheetml/2006/main" count="558" uniqueCount="272">
  <si>
    <t xml:space="preserve"> </t>
  </si>
  <si>
    <t>Fecha ingreso</t>
  </si>
  <si>
    <t>Empleado</t>
  </si>
  <si>
    <t>DIAS LABORADOS</t>
  </si>
  <si>
    <t>SUELDO</t>
  </si>
  <si>
    <t>PUESTO</t>
  </si>
  <si>
    <t>SUPERVISOR</t>
  </si>
  <si>
    <t>SD IMSS</t>
  </si>
  <si>
    <t>SD BOLSILLO</t>
  </si>
  <si>
    <t>SEPTIMO DIA</t>
  </si>
  <si>
    <t>TOTAL NETO A PAGAR</t>
  </si>
  <si>
    <t>SUELDO REAL</t>
  </si>
  <si>
    <t>TURNO</t>
  </si>
  <si>
    <t>FECHA BAJA</t>
  </si>
  <si>
    <t>Archivo de Nomina ECOVIA VALIDADORES</t>
  </si>
  <si>
    <t>VALIDADORES</t>
  </si>
  <si>
    <t>FESTIVO LABORADO</t>
  </si>
  <si>
    <t>FESTIVO</t>
  </si>
  <si>
    <t>COSTO X HRA</t>
  </si>
  <si>
    <t>BONO DIAS TRABAJADOS</t>
  </si>
  <si>
    <t>TIEMPO EXTRA DOBLE</t>
  </si>
  <si>
    <t>TIEMPO EXTRA TRIPLE</t>
  </si>
  <si>
    <t>VALIDADOR</t>
  </si>
  <si>
    <t>HRS EXTRAS DOBLES</t>
  </si>
  <si>
    <t>HRS EXTRAS TRIPLES</t>
  </si>
  <si>
    <t>RETROACTIVO</t>
  </si>
  <si>
    <t>DIA</t>
  </si>
  <si>
    <t>HERNANDEZ LOZANO JESUS</t>
  </si>
  <si>
    <t>LUNES A VIERNES 12 HRS CORTE VIERNES A JUEVES</t>
  </si>
  <si>
    <t>HERNANDEZ DE LA CRUZ MARIA ISABEL</t>
  </si>
  <si>
    <t>FIGUERA CASTILLO ERNESTO ANTONIO</t>
  </si>
  <si>
    <t>PEREZ MARTINEZ MARIA DEL CONSUELO</t>
  </si>
  <si>
    <t>08 DE DICIEMBRE AL 14 DE DICIEMBRE</t>
  </si>
  <si>
    <t>SEMANA N° 51</t>
  </si>
  <si>
    <t>BONO PUNTUALIDAD Y ASISTENCIA</t>
  </si>
  <si>
    <t>BONO PRODUCTIVIDAD</t>
  </si>
  <si>
    <t xml:space="preserve">OROZCO ALMANZA ROSA ELIA </t>
  </si>
  <si>
    <t>CLETO GARCIA ELSA SANAHI</t>
  </si>
  <si>
    <t>ESCALONA RAMOS NOHEMI</t>
  </si>
  <si>
    <t>COMENTARIOS</t>
  </si>
  <si>
    <t>C/DIA</t>
  </si>
  <si>
    <t>C/NOCHE</t>
  </si>
  <si>
    <t>PRIMA DOMINICAL</t>
  </si>
  <si>
    <t>POSADAS PORTILLA EPIFANIA</t>
  </si>
  <si>
    <t>LUNES A DOMINGO 12 HRS CORTE VIERNES A JUEVES</t>
  </si>
  <si>
    <t>PRADO LEYVA OSCAR IGNACIO</t>
  </si>
  <si>
    <t>PAEZ LIMON CLAUDIA ELENA</t>
  </si>
  <si>
    <t xml:space="preserve">C/DIA </t>
  </si>
  <si>
    <t>VILLANUEVA SOTO ANTONIA DOLORES</t>
  </si>
  <si>
    <t>GOVEA INFANTE ANA LAURA</t>
  </si>
  <si>
    <t>BASULTO RAMON LUIS CARLOS</t>
  </si>
  <si>
    <t>MORENO CARDENAS NORA ILEANA</t>
  </si>
  <si>
    <t>RODRIGUEZ SAUCEDO LIDIA FABIOLA</t>
  </si>
  <si>
    <t>HERNANDEZ DEL ANGEL EMMANUEL ALEXANDER</t>
  </si>
  <si>
    <t>GARCIA ESQUIVEL JUAN ANTONIO</t>
  </si>
  <si>
    <t>HERNANDEZ HERNANDEZ CAROLINA</t>
  </si>
  <si>
    <t>MUÑOZ GARCIA ANGEL JONARY</t>
  </si>
  <si>
    <t>MORALES FRAUSTO JUAN JOSE</t>
  </si>
  <si>
    <t>AGUILAR MALDONADO FRANCISCO DE JESUS</t>
  </si>
  <si>
    <t>DESCANSO LABORADO</t>
  </si>
  <si>
    <t>CARREON MONSIVAIS ROBERTO EDUARDO</t>
  </si>
  <si>
    <t>AZTECA</t>
  </si>
  <si>
    <t>GUERRERO AMARO FERNANDO ELIUD</t>
  </si>
  <si>
    <t>CASTRO ROBLEDO EDUARDO</t>
  </si>
  <si>
    <t>CASTILLO PEÑA MARCOS ADRIAN</t>
  </si>
  <si>
    <t>SILVA TUNALES JOSEFINA</t>
  </si>
  <si>
    <t>BLANCO PUENTE BERTHA</t>
  </si>
  <si>
    <t>ARAGON GUZMAN JAIME</t>
  </si>
  <si>
    <t>BEJARANO GOMEZ CLAUDIA AYDEE</t>
  </si>
  <si>
    <t>ZAMORA GARZA JACOBET CONCEPCION</t>
  </si>
  <si>
    <t>DIAZ FUENTES JUAN FRANCISCO JAVIER</t>
  </si>
  <si>
    <t>OBREGON RANGEL REYNALDO</t>
  </si>
  <si>
    <t>MENDOZA RUIZ VICTOR MANUEL</t>
  </si>
  <si>
    <t>MARTINEZ ALVAREZ YAHAIRA ROXAN</t>
  </si>
  <si>
    <t>REYNOSO RODRIGUEZ VIVIAN SARAHI</t>
  </si>
  <si>
    <t>CASTRO LOPEZ JORGE ALBERTO</t>
  </si>
  <si>
    <t>PACHUCA DIAZ LUIS ANGEL</t>
  </si>
  <si>
    <t>SANTOY MORENO PATRICIA</t>
  </si>
  <si>
    <t>OJEDA FLORES RICARDO IVAN</t>
  </si>
  <si>
    <t>DE LA ROSA TAPIA ARACELY</t>
  </si>
  <si>
    <t>SOSA ACOSTA MARIO ALEJANDRO</t>
  </si>
  <si>
    <t>HERNANDEZ LOREDO ALEJANDRO</t>
  </si>
  <si>
    <t>GUTIERREZ HERNANDEZ JOSE CARLOS</t>
  </si>
  <si>
    <t>RAMIREZ ESTRADA MARIO</t>
  </si>
  <si>
    <t>HORAS EXTRA</t>
  </si>
  <si>
    <t>DESCUENTO</t>
  </si>
  <si>
    <t>VELEZ MARTINEZ ANA MARIA</t>
  </si>
  <si>
    <t>CANISALEZ CARDONA JUANA</t>
  </si>
  <si>
    <t>BARRERA TAPIA CHARLY DARWIN</t>
  </si>
  <si>
    <t>MARTINEZ BARAJAS RUBEN</t>
  </si>
  <si>
    <t>DOMINGUEZ ALFARO MARCO ANTONIO</t>
  </si>
  <si>
    <t>VALERIO FLORES JOSE LUIS</t>
  </si>
  <si>
    <t>LARA CASTILLO JUDITH</t>
  </si>
  <si>
    <t>OCHOA RAMIREZ GABRIEL</t>
  </si>
  <si>
    <t>GUZMAN MARTINEZ ESTEFANIA LIZETH</t>
  </si>
  <si>
    <t>MAR GALLARDO ANGEL</t>
  </si>
  <si>
    <t xml:space="preserve">AMARO PEÑA FLOR CECILIA </t>
  </si>
  <si>
    <t>VAZQUEZ GUERRERO JOSE GUADALUPE</t>
  </si>
  <si>
    <t>ALEMAN ALVARADO JUAN ALBERTO</t>
  </si>
  <si>
    <t>FUENTES PEREZ CRISTHIAN ALFONSO</t>
  </si>
  <si>
    <t>VAZQUEZ MARTINEZ MA.ELDA</t>
  </si>
  <si>
    <t>GONZALEZ RODRIGUEZ MARIA DE JESUS</t>
  </si>
  <si>
    <t>BANCO AZTECA 4027 6600 1771 0528</t>
  </si>
  <si>
    <t>SALGUERO ALEMAN VERONICA</t>
  </si>
  <si>
    <t>ALVAREZ MEDINA GUSTAVO</t>
  </si>
  <si>
    <t>AZTECA / 1275 8000 1875 2101 39</t>
  </si>
  <si>
    <t>BERNAL LOPEZ FABIAN GUSTAVO</t>
  </si>
  <si>
    <t>SOLIS RIVERA MIGUEL ANGEL</t>
  </si>
  <si>
    <t>DOMINGUEZ CORDOVA YUCVANI</t>
  </si>
  <si>
    <t>SANCHEZ CARDENAS TOMAS</t>
  </si>
  <si>
    <t>GALAVIZ FLORES VANESSA LIZETH</t>
  </si>
  <si>
    <t>AZTECA / 127580001713168563</t>
  </si>
  <si>
    <t>HERNANDEZ SIMBRON FELICIANO</t>
  </si>
  <si>
    <t>AZTECA / 01030189151012</t>
  </si>
  <si>
    <t>CHARLES PEDRAZA AMIRA</t>
  </si>
  <si>
    <t>AZTECA / 38870122730307</t>
  </si>
  <si>
    <t>ARAUJO ARRIAGA LETICIA ISABEL</t>
  </si>
  <si>
    <t>GARCIA VILLANUEVA JUAN JAVIER</t>
  </si>
  <si>
    <t>SANTANDER / 014580569302503935</t>
  </si>
  <si>
    <t>EXTRANJERO</t>
  </si>
  <si>
    <t>AZTECA / 9495 0177 1460 95</t>
  </si>
  <si>
    <t>CERVANTES RODRIGUEZ JUAN CARLOS</t>
  </si>
  <si>
    <t>BAUTISTA LOPEZ PABLO HUMBERTO</t>
  </si>
  <si>
    <t>MACHADO GOMEZ ELENA</t>
  </si>
  <si>
    <t>AZTECA / 61850189929128</t>
  </si>
  <si>
    <t>SANCHEZ GUZMAN YOLANDA</t>
  </si>
  <si>
    <t>BBVA / 012580015878449008</t>
  </si>
  <si>
    <t>HERNANDEZ CASTILLO JORGE ALEJANDRO</t>
  </si>
  <si>
    <t>CABRERA GARCIA LOURDES</t>
  </si>
  <si>
    <t>AZTECA / 38870190718523</t>
  </si>
  <si>
    <t>CAMBIO DE CUENTA BANORTE / 072 580 01269907345 0</t>
  </si>
  <si>
    <t>GARCIA GARCIA HECTOR JAVIER</t>
  </si>
  <si>
    <t>AZTECA / 01030191518772</t>
  </si>
  <si>
    <t>NAÑEZ MARES MARIA GUADALUPE</t>
  </si>
  <si>
    <t>AZTECA / 60200191612409</t>
  </si>
  <si>
    <t>AZTECA / 58400115022577</t>
  </si>
  <si>
    <t>VELAZQUEZ ESQUIVEL SERGIO GERARDO</t>
  </si>
  <si>
    <t>AZTECA / 41320182743510</t>
  </si>
  <si>
    <t>MONTO DE HORAS INCOMPLETAS SOBRE 12 HORAS</t>
  </si>
  <si>
    <t xml:space="preserve">AZTECA / 127180001802290043 </t>
  </si>
  <si>
    <t>BBVA / 012 580 01537400745 2</t>
  </si>
  <si>
    <t>ESPINOZA CADENA DIANA SELENE</t>
  </si>
  <si>
    <t>AZTECA / 42970188307364</t>
  </si>
  <si>
    <t>CUELLAR HERNANDEZ EDGARD ALBERTO</t>
  </si>
  <si>
    <t>SANTANDER / 014580568469134057</t>
  </si>
  <si>
    <t>VERJEL OCHOA JAVIER</t>
  </si>
  <si>
    <t>MORENO VERGEL OMAIRA ADRIANA</t>
  </si>
  <si>
    <t>AZTECA / 04950193747253</t>
  </si>
  <si>
    <t>BANAMEX / 002580905426568820</t>
  </si>
  <si>
    <t>ZACARIAS LOPEZ ELSA</t>
  </si>
  <si>
    <t>PLATA RODRIGUEZ MARIA MAGDALENA</t>
  </si>
  <si>
    <t>BANORTE / 072580013620484570</t>
  </si>
  <si>
    <t>RODRIGUEZ PEREZ JULIO CESAR</t>
  </si>
  <si>
    <t>BBVA / 012580014341398603</t>
  </si>
  <si>
    <t>BLANCAS VIVAS PERLA</t>
  </si>
  <si>
    <t>SANTANDER / 014580569057077800</t>
  </si>
  <si>
    <t>CONTRERAS RINCON KARLA YURIDIA</t>
  </si>
  <si>
    <t>AZTECA / 41320194271654</t>
  </si>
  <si>
    <t>VALDEZ CAMPOS ANA MARIA</t>
  </si>
  <si>
    <t>BANORTE / 072580002374487656</t>
  </si>
  <si>
    <t>AZTECA / 00002122874464</t>
  </si>
  <si>
    <t>PENSION DEL 39% / AZTECA</t>
  </si>
  <si>
    <t>MARTINEZ VARELA MIGUEL ANGEL</t>
  </si>
  <si>
    <t>AZTECA / 41320195011695</t>
  </si>
  <si>
    <t>AZTECA / 41320190323350</t>
  </si>
  <si>
    <t>BAUTISTA CORTES IGNACIO</t>
  </si>
  <si>
    <t>SAUCEDO LEAL SANTOS IVONNE</t>
  </si>
  <si>
    <t>AZTECA / 56080166386977</t>
  </si>
  <si>
    <t>JUAREZ DE LA ROSA JUAN MIGUEL</t>
  </si>
  <si>
    <t>AZTECA / 38610193853997</t>
  </si>
  <si>
    <t>HERNANDEZ RAMIREZ JOSE ALFREDO</t>
  </si>
  <si>
    <t>AZTECA / 41320195228878</t>
  </si>
  <si>
    <t>BECERRA RODRIGUEZ JAZMIN</t>
  </si>
  <si>
    <t>BANORTE / 072580013688262378</t>
  </si>
  <si>
    <t>CRUZ RUIZ JORGE LUIS</t>
  </si>
  <si>
    <t>BANORTE / 072580012927086164</t>
  </si>
  <si>
    <t>ALONSO EGUIA LIS JOSE ALBERTO</t>
  </si>
  <si>
    <t>AZTECA / 96920195515480</t>
  </si>
  <si>
    <t>SALINAS ROSALES JORGE HUMBERTO</t>
  </si>
  <si>
    <t>BANORTE / 072580013660318596</t>
  </si>
  <si>
    <t>ALCALA QUILANTAN JUAN ANTONIO</t>
  </si>
  <si>
    <t>GONZALEZ LOO PATRICIA ROGELIA</t>
  </si>
  <si>
    <t>AZTECA / 54861302612123</t>
  </si>
  <si>
    <t>GARZA HERRERA JUAN CARLOS</t>
  </si>
  <si>
    <t>SANTANDER / 014580568754789586</t>
  </si>
  <si>
    <t>LUNA OVIEDO NOHEMI CATSALIA</t>
  </si>
  <si>
    <t>INCAPACIDAD / AZTECA / 127580001870133305</t>
  </si>
  <si>
    <t>AZTECA / 41320194272430</t>
  </si>
  <si>
    <t>BANAMEX / 002580702276803750</t>
  </si>
  <si>
    <t>ONTIVEROS RUIZ JAIME</t>
  </si>
  <si>
    <t>AZTECA / 61850196050975</t>
  </si>
  <si>
    <t>LOPEZ GARCIA SILVIA YANETH</t>
  </si>
  <si>
    <t>MARTINEZ CASTILLO JORGE</t>
  </si>
  <si>
    <t>BANORTE / 072813013564044811</t>
  </si>
  <si>
    <t>BANAMEX / 002580905377778251</t>
  </si>
  <si>
    <t>PEREYRA SALCIDO JUAN CARLOS</t>
  </si>
  <si>
    <t>BANAMEX / 002580905581087615</t>
  </si>
  <si>
    <t>ARROYOS RODRIGUEZ MARIA GUADALUPE</t>
  </si>
  <si>
    <t>AZTECA / 01480196065230</t>
  </si>
  <si>
    <t>PALOMO CABALLERO ALBERTO EZEQUIEL</t>
  </si>
  <si>
    <t>BANAMEX / 002580905173883696</t>
  </si>
  <si>
    <t>SOLIS ALDAY MARTHA YESENIA</t>
  </si>
  <si>
    <t>BBVA / 012580015117299922</t>
  </si>
  <si>
    <t>AZTECA / 00002112108443</t>
  </si>
  <si>
    <t>MARTINEZ OROZCO RAMIRO GABRIEL ISRAEL</t>
  </si>
  <si>
    <t>BBVA / 012580015306019256</t>
  </si>
  <si>
    <t>CORTEZ GUTIERREZ MARIO</t>
  </si>
  <si>
    <t>AZTECA / 41320196628998</t>
  </si>
  <si>
    <t>BANORTE / 072580012560130134</t>
  </si>
  <si>
    <t>RAMIREZ ALMANZA NORMA</t>
  </si>
  <si>
    <t>BBVA / 012580015780284636</t>
  </si>
  <si>
    <t>HERNANDEZ GUTIERREZ ALEJANDRO</t>
  </si>
  <si>
    <t>BANORTE / 072580013545931768</t>
  </si>
  <si>
    <t>MOGUEL CHAN DIANA MARIA</t>
  </si>
  <si>
    <t>SANTANDER / 014694605927262922</t>
  </si>
  <si>
    <t>GARCIA TOVAR GUSTAVO</t>
  </si>
  <si>
    <t>AZTECA / 94950177684311</t>
  </si>
  <si>
    <t>CHAGOYA HERNANDEZ ANALY</t>
  </si>
  <si>
    <t>AZTECA / 94950177145502</t>
  </si>
  <si>
    <t>URBINA DE LA ROSA JOSE LUIS</t>
  </si>
  <si>
    <t>AZTECA / 41320196799252</t>
  </si>
  <si>
    <t>PLANCARTE GUTIERREZ ALEJANDRO</t>
  </si>
  <si>
    <t>BBVA / 012580015238166675</t>
  </si>
  <si>
    <t>GONZALEZ LOPEZ SAMUEL</t>
  </si>
  <si>
    <t>BBVA / 012680015815941922</t>
  </si>
  <si>
    <t>HERNANDEZ GONZALEZ JULIAN</t>
  </si>
  <si>
    <t>AZTECA / 413220196920386</t>
  </si>
  <si>
    <t>AZTECA / 127580001576676098</t>
  </si>
  <si>
    <t xml:space="preserve"> AZTECA / 55710188947309</t>
  </si>
  <si>
    <t>ALVAREZ CONTRERAS CRECENCIO ALEJANDRO</t>
  </si>
  <si>
    <t>SANTANDER / 014580140437583809</t>
  </si>
  <si>
    <t>BBVA / 012580015847475210</t>
  </si>
  <si>
    <t>GUERRERO ESCOBEDO ANGEL MIZAEL</t>
  </si>
  <si>
    <t>HERNANDEZ CRUZ ISIDRO</t>
  </si>
  <si>
    <t>ALVAREZ MEDRANO CINDY ELIZABETH</t>
  </si>
  <si>
    <t>MENDEZ RODRIGUEZ ANGEL ALEJANDRO</t>
  </si>
  <si>
    <t>RIVERA HERNANDEZ MARIA DE LOURDES</t>
  </si>
  <si>
    <t>AGUILAR GONZALEZ BENITO</t>
  </si>
  <si>
    <t>OCAÑAS RODRIGUEZ JOSE FELICIANO</t>
  </si>
  <si>
    <t>OVALLE GUTIERREZ MARCO ANTONIO</t>
  </si>
  <si>
    <t>300001887</t>
  </si>
  <si>
    <t>BANAMEX / 002580905614515588</t>
  </si>
  <si>
    <t>BANAMEX / 002580905613869345</t>
  </si>
  <si>
    <t>BANORTE / 072580013834738038</t>
  </si>
  <si>
    <t>AZTECA / 00002134347920</t>
  </si>
  <si>
    <t>BANORTE/ 072580013836858110</t>
  </si>
  <si>
    <t>BANREGIO / 058597000155026012</t>
  </si>
  <si>
    <t>BBVA / 012580029879605497</t>
  </si>
  <si>
    <t>BANORTE / 072580013779807752</t>
  </si>
  <si>
    <t>SEMANA N° 38</t>
  </si>
  <si>
    <t>11 AL 17 DE SEPTIEMBRE 2026</t>
  </si>
  <si>
    <t>FESTIVO PRIMERA MITAD</t>
  </si>
  <si>
    <t>INCAPACIDAD / AZTECA</t>
  </si>
  <si>
    <t>AZTECA / 41320190164917</t>
  </si>
  <si>
    <t>AGREGAR PRIMA / AZTECA</t>
  </si>
  <si>
    <t>BAJA / BANORTE / 072580013725610582</t>
  </si>
  <si>
    <t>AGREGAR PRIMA / BBVA / 012580015512054225</t>
  </si>
  <si>
    <t>BAJA / SANTANDER / 014580140278976251</t>
  </si>
  <si>
    <t>LOPEZ RUIZ AZUCENA ROSARIO</t>
  </si>
  <si>
    <t>BBVA / 012180015812238691</t>
  </si>
  <si>
    <t>300001888</t>
  </si>
  <si>
    <t>ZERMEÑO ACOSTA JUAN</t>
  </si>
  <si>
    <t>BANAMEX / 002580905470378383</t>
  </si>
  <si>
    <t>300001889</t>
  </si>
  <si>
    <t>JIMENEZ MUÑOZ HILDA GUADALUPE</t>
  </si>
  <si>
    <t>BBVA / 012180015242159845</t>
  </si>
  <si>
    <t>300001890</t>
  </si>
  <si>
    <t>REYES AVILA REYNA JUDITH</t>
  </si>
  <si>
    <t>AZTECA / 42970195239542</t>
  </si>
  <si>
    <t>300001891</t>
  </si>
  <si>
    <t>SANCHEZ MENDEZ ARMANDO</t>
  </si>
  <si>
    <t>BBVA / 012580015505682921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</si>
</sst>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_-&quot;$&quot;* #,##0.0_-;\-&quot;$&quot;* #,##0.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badi"/>
      <family val="2"/>
    </font>
    <font>
      <b/>
      <sz val="10"/>
      <color theme="0"/>
      <name val="Abadi"/>
      <family val="2"/>
    </font>
    <font>
      <sz val="10"/>
      <color theme="0"/>
      <name val="Abadi"/>
      <family val="2"/>
    </font>
    <font>
      <sz val="11"/>
      <color theme="0"/>
      <name val="Abadi"/>
      <family val="2"/>
    </font>
    <font>
      <sz val="10"/>
      <color theme="1"/>
      <name val="Calibri"/>
      <family val="2"/>
      <scheme val="minor"/>
    </font>
    <font>
      <sz val="18"/>
      <color theme="0"/>
      <name val="Abadi"/>
      <family val="2"/>
    </font>
    <font>
      <sz val="12"/>
      <color theme="1"/>
      <name val="Arial Nova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FD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FD"/>
      </left>
      <right style="thin">
        <color rgb="FF0000FD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1">
    <xf numFmtId="0" fontId="0" fillId="0" borderId="0" xfId="0"/>
    <xf numFmtId="164" fontId="3" fillId="4" borderId="1" xfId="0" applyNumberFormat="1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4" fontId="3" fillId="4" borderId="3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44" fontId="2" fillId="2" borderId="5" xfId="0" applyNumberFormat="1" applyFont="1" applyFill="1" applyBorder="1" applyAlignment="1">
      <alignment wrapText="1"/>
    </xf>
    <xf numFmtId="44" fontId="8" fillId="2" borderId="5" xfId="0" applyNumberFormat="1" applyFont="1" applyFill="1" applyBorder="1"/>
    <xf numFmtId="1" fontId="5" fillId="5" borderId="4" xfId="0" applyNumberFormat="1" applyFont="1" applyFill="1" applyBorder="1" applyAlignment="1">
      <alignment horizontal="center" vertical="center" wrapText="1"/>
    </xf>
    <xf numFmtId="44" fontId="5" fillId="5" borderId="4" xfId="0" applyNumberFormat="1" applyFont="1" applyFill="1" applyBorder="1" applyAlignment="1">
      <alignment horizontal="center" vertical="center" wrapText="1"/>
    </xf>
    <xf numFmtId="43" fontId="5" fillId="5" borderId="4" xfId="1" applyFont="1" applyFill="1" applyBorder="1" applyAlignment="1">
      <alignment horizontal="center" vertical="center" wrapText="1"/>
    </xf>
    <xf numFmtId="1" fontId="2" fillId="3" borderId="5" xfId="0" applyNumberFormat="1" applyFont="1" applyFill="1" applyBorder="1" applyAlignment="1">
      <alignment horizontal="center"/>
    </xf>
    <xf numFmtId="44" fontId="2" fillId="0" borderId="5" xfId="0" applyNumberFormat="1" applyFont="1" applyBorder="1"/>
    <xf numFmtId="165" fontId="2" fillId="0" borderId="5" xfId="0" applyNumberFormat="1" applyFont="1" applyBorder="1"/>
    <xf numFmtId="164" fontId="7" fillId="5" borderId="0" xfId="0" applyNumberFormat="1" applyFont="1" applyFill="1" applyAlignment="1">
      <alignment horizontal="center"/>
    </xf>
    <xf numFmtId="44" fontId="0" fillId="0" borderId="0" xfId="0" applyNumberFormat="1"/>
    <xf numFmtId="44" fontId="2" fillId="3" borderId="5" xfId="0" applyNumberFormat="1" applyFont="1" applyFill="1" applyBorder="1" applyAlignment="1">
      <alignment horizontal="center"/>
    </xf>
    <xf numFmtId="164" fontId="3" fillId="4" borderId="3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/>
    <xf numFmtId="0" fontId="10" fillId="6" borderId="5" xfId="0" applyFont="1" applyFill="1" applyBorder="1" applyAlignment="1">
      <alignment wrapText="1"/>
    </xf>
    <xf numFmtId="164" fontId="7" fillId="5" borderId="0" xfId="0" applyNumberFormat="1" applyFont="1" applyFill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0" fontId="0" fillId="7" borderId="0" xfId="0" applyFill="1"/>
    <xf numFmtId="14" fontId="5" fillId="5" borderId="4" xfId="0" applyNumberFormat="1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wrapText="1"/>
    </xf>
    <xf numFmtId="44" fontId="8" fillId="2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2" fillId="0" borderId="1" xfId="0" applyNumberFormat="1" applyFont="1" applyBorder="1"/>
    <xf numFmtId="14" fontId="6" fillId="0" borderId="5" xfId="0" applyNumberFormat="1" applyFont="1" applyBorder="1" applyAlignment="1">
      <alignment horizontal="center"/>
    </xf>
    <xf numFmtId="0" fontId="6" fillId="0" borderId="5" xfId="0" applyFont="1" applyBorder="1"/>
    <xf numFmtId="0" fontId="6" fillId="3" borderId="5" xfId="0" applyFont="1" applyFill="1" applyBorder="1" applyAlignment="1">
      <alignment horizontal="center"/>
    </xf>
    <xf numFmtId="0" fontId="6" fillId="0" borderId="0" xfId="0" applyFont="1"/>
    <xf numFmtId="14" fontId="6" fillId="2" borderId="5" xfId="0" applyNumberFormat="1" applyFont="1" applyFill="1" applyBorder="1" applyAlignment="1">
      <alignment horizontal="center"/>
    </xf>
    <xf numFmtId="165" fontId="6" fillId="0" borderId="1" xfId="0" applyNumberFormat="1" applyFont="1" applyBorder="1"/>
    <xf numFmtId="2" fontId="6" fillId="3" borderId="5" xfId="0" applyNumberFormat="1" applyFont="1" applyFill="1" applyBorder="1" applyAlignment="1">
      <alignment horizontal="center"/>
    </xf>
    <xf numFmtId="44" fontId="6" fillId="0" borderId="5" xfId="0" applyNumberFormat="1" applyFont="1" applyBorder="1"/>
    <xf numFmtId="165" fontId="6" fillId="0" borderId="5" xfId="0" applyNumberFormat="1" applyFont="1" applyBorder="1"/>
    <xf numFmtId="0" fontId="6" fillId="0" borderId="0" xfId="0" applyFont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4" fillId="5" borderId="2" xfId="0" applyNumberFormat="1" applyFont="1" applyFill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/>
    </xf>
    <xf numFmtId="14" fontId="6" fillId="2" borderId="5" xfId="0" applyNumberFormat="1" applyFont="1" applyFill="1" applyBorder="1" applyAlignment="1">
      <alignment horizontal="center" vertical="center"/>
    </xf>
    <xf numFmtId="165" fontId="2" fillId="0" borderId="5" xfId="3" applyNumberFormat="1" applyFont="1" applyBorder="1"/>
    <xf numFmtId="0" fontId="0" fillId="3" borderId="5" xfId="0" applyFill="1" applyBorder="1" applyAlignment="1">
      <alignment horizontal="center"/>
    </xf>
    <xf numFmtId="0" fontId="6" fillId="2" borderId="5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11" fillId="2" borderId="5" xfId="0" applyFont="1" applyFill="1" applyBorder="1"/>
    <xf numFmtId="0" fontId="11" fillId="2" borderId="5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5" xfId="2" applyFont="1" applyFill="1" applyBorder="1" applyAlignment="1">
      <alignment horizontal="center"/>
    </xf>
    <xf numFmtId="165" fontId="2" fillId="2" borderId="5" xfId="0" applyNumberFormat="1" applyFont="1" applyFill="1" applyBorder="1"/>
    <xf numFmtId="165" fontId="2" fillId="2" borderId="1" xfId="0" applyNumberFormat="1" applyFont="1" applyFill="1" applyBorder="1"/>
    <xf numFmtId="44" fontId="4" fillId="5" borderId="4" xfId="0" applyNumberFormat="1" applyFont="1" applyFill="1" applyBorder="1" applyAlignment="1">
      <alignment horizontal="center" vertical="center" wrapText="1"/>
    </xf>
    <xf numFmtId="14" fontId="6" fillId="0" borderId="0" xfId="0" applyNumberFormat="1" applyFont="1"/>
    <xf numFmtId="0" fontId="0" fillId="2" borderId="0" xfId="0" applyFill="1"/>
    <xf numFmtId="0" fontId="6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44" fontId="2" fillId="2" borderId="5" xfId="0" applyNumberFormat="1" applyFont="1" applyFill="1" applyBorder="1" applyAlignment="1">
      <alignment horizontal="center"/>
    </xf>
    <xf numFmtId="44" fontId="2" fillId="2" borderId="5" xfId="0" applyNumberFormat="1" applyFont="1" applyFill="1" applyBorder="1"/>
    <xf numFmtId="165" fontId="6" fillId="2" borderId="5" xfId="0" applyNumberFormat="1" applyFont="1" applyFill="1" applyBorder="1"/>
    <xf numFmtId="0" fontId="9" fillId="8" borderId="5" xfId="0" applyFont="1" applyFill="1" applyBorder="1" applyAlignment="1">
      <alignment horizontal="center" vertical="center"/>
    </xf>
    <xf numFmtId="165" fontId="6" fillId="0" borderId="0" xfId="0" applyNumberFormat="1" applyFont="1"/>
    <xf numFmtId="0" fontId="9" fillId="9" borderId="5" xfId="0" applyFont="1" applyFill="1" applyBorder="1" applyAlignment="1">
      <alignment horizontal="center" vertical="center"/>
    </xf>
    <xf numFmtId="165" fontId="0" fillId="0" borderId="0" xfId="0" applyNumberFormat="1"/>
    <xf numFmtId="14" fontId="6" fillId="10" borderId="5" xfId="0" applyNumberFormat="1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center" vertical="center"/>
    </xf>
    <xf numFmtId="1" fontId="2" fillId="10" borderId="5" xfId="0" applyNumberFormat="1" applyFont="1" applyFill="1" applyBorder="1" applyAlignment="1">
      <alignment horizontal="center"/>
    </xf>
    <xf numFmtId="2" fontId="2" fillId="10" borderId="5" xfId="0" applyNumberFormat="1" applyFont="1" applyFill="1" applyBorder="1" applyAlignment="1">
      <alignment horizontal="center"/>
    </xf>
    <xf numFmtId="44" fontId="2" fillId="10" borderId="5" xfId="0" applyNumberFormat="1" applyFont="1" applyFill="1" applyBorder="1"/>
    <xf numFmtId="165" fontId="2" fillId="10" borderId="5" xfId="0" applyNumberFormat="1" applyFont="1" applyFill="1" applyBorder="1"/>
    <xf numFmtId="165" fontId="6" fillId="10" borderId="5" xfId="0" applyNumberFormat="1" applyFont="1" applyFill="1" applyBorder="1"/>
    <xf numFmtId="14" fontId="6" fillId="11" borderId="5" xfId="0" applyNumberFormat="1" applyFont="1" applyFill="1" applyBorder="1" applyAlignment="1">
      <alignment horizontal="center"/>
    </xf>
    <xf numFmtId="0" fontId="6" fillId="11" borderId="5" xfId="0" applyFont="1" applyFill="1" applyBorder="1"/>
    <xf numFmtId="0" fontId="6" fillId="11" borderId="5" xfId="0" applyFont="1" applyFill="1" applyBorder="1" applyAlignment="1">
      <alignment horizontal="center" vertical="center"/>
    </xf>
    <xf numFmtId="0" fontId="6" fillId="11" borderId="5" xfId="2" applyFont="1" applyFill="1" applyBorder="1" applyAlignment="1">
      <alignment horizontal="center"/>
    </xf>
    <xf numFmtId="0" fontId="6" fillId="11" borderId="5" xfId="0" applyFont="1" applyFill="1" applyBorder="1" applyAlignment="1">
      <alignment horizontal="center"/>
    </xf>
    <xf numFmtId="2" fontId="2" fillId="11" borderId="5" xfId="0" applyNumberFormat="1" applyFont="1" applyFill="1" applyBorder="1" applyAlignment="1">
      <alignment horizontal="center"/>
    </xf>
    <xf numFmtId="44" fontId="2" fillId="11" borderId="5" xfId="0" applyNumberFormat="1" applyFont="1" applyFill="1" applyBorder="1" applyAlignment="1">
      <alignment horizontal="center"/>
    </xf>
    <xf numFmtId="44" fontId="2" fillId="11" borderId="5" xfId="0" applyNumberFormat="1" applyFont="1" applyFill="1" applyBorder="1"/>
    <xf numFmtId="165" fontId="6" fillId="11" borderId="5" xfId="0" applyNumberFormat="1" applyFont="1" applyFill="1" applyBorder="1"/>
    <xf numFmtId="0" fontId="6" fillId="10" borderId="5" xfId="2" applyFont="1" applyFill="1" applyBorder="1" applyAlignment="1">
      <alignment horizontal="center"/>
    </xf>
    <xf numFmtId="165" fontId="2" fillId="2" borderId="5" xfId="3" applyNumberFormat="1" applyFont="1" applyFill="1" applyBorder="1"/>
    <xf numFmtId="0" fontId="6" fillId="0" borderId="6" xfId="2" applyFont="1" applyBorder="1" applyAlignment="1">
      <alignment horizontal="center"/>
    </xf>
    <xf numFmtId="165" fontId="2" fillId="10" borderId="1" xfId="0" applyNumberFormat="1" applyFont="1" applyFill="1" applyBorder="1"/>
    <xf numFmtId="1" fontId="2" fillId="2" borderId="5" xfId="0" applyNumberFormat="1" applyFont="1" applyFill="1" applyBorder="1" applyAlignment="1">
      <alignment horizontal="center"/>
    </xf>
    <xf numFmtId="165" fontId="6" fillId="2" borderId="1" xfId="0" applyNumberFormat="1" applyFont="1" applyFill="1" applyBorder="1"/>
    <xf numFmtId="2" fontId="6" fillId="2" borderId="5" xfId="0" applyNumberFormat="1" applyFont="1" applyFill="1" applyBorder="1" applyAlignment="1">
      <alignment horizontal="center"/>
    </xf>
    <xf numFmtId="44" fontId="6" fillId="2" borderId="5" xfId="0" applyNumberFormat="1" applyFont="1" applyFill="1" applyBorder="1"/>
    <xf numFmtId="0" fontId="9" fillId="12" borderId="5" xfId="0" applyFont="1" applyFill="1" applyBorder="1" applyAlignment="1">
      <alignment horizontal="center" vertical="center"/>
    </xf>
    <xf numFmtId="14" fontId="6" fillId="7" borderId="5" xfId="0" applyNumberFormat="1" applyFont="1" applyFill="1" applyBorder="1" applyAlignment="1">
      <alignment horizontal="center"/>
    </xf>
    <xf numFmtId="0" fontId="6" fillId="7" borderId="5" xfId="0" applyFont="1" applyFill="1" applyBorder="1"/>
    <xf numFmtId="0" fontId="6" fillId="7" borderId="5" xfId="0" applyFont="1" applyFill="1" applyBorder="1" applyAlignment="1">
      <alignment horizontal="center" vertical="center"/>
    </xf>
    <xf numFmtId="0" fontId="6" fillId="7" borderId="5" xfId="2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2" fontId="2" fillId="7" borderId="5" xfId="0" applyNumberFormat="1" applyFont="1" applyFill="1" applyBorder="1" applyAlignment="1">
      <alignment horizontal="center"/>
    </xf>
    <xf numFmtId="44" fontId="2" fillId="7" borderId="5" xfId="0" applyNumberFormat="1" applyFont="1" applyFill="1" applyBorder="1" applyAlignment="1">
      <alignment horizontal="center"/>
    </xf>
    <xf numFmtId="44" fontId="2" fillId="7" borderId="5" xfId="0" applyNumberFormat="1" applyFont="1" applyFill="1" applyBorder="1"/>
    <xf numFmtId="165" fontId="6" fillId="7" borderId="5" xfId="0" applyNumberFormat="1" applyFont="1" applyFill="1" applyBorder="1"/>
    <xf numFmtId="165" fontId="2" fillId="7" borderId="5" xfId="0" applyNumberFormat="1" applyFont="1" applyFill="1" applyBorder="1"/>
    <xf numFmtId="165" fontId="2" fillId="7" borderId="5" xfId="3" applyNumberFormat="1" applyFont="1" applyFill="1" applyBorder="1"/>
    <xf numFmtId="0" fontId="9" fillId="7" borderId="5" xfId="0" applyFont="1" applyFill="1" applyBorder="1" applyAlignment="1">
      <alignment horizontal="center" vertical="center"/>
    </xf>
    <xf numFmtId="14" fontId="6" fillId="12" borderId="5" xfId="0" applyNumberFormat="1" applyFont="1" applyFill="1" applyBorder="1" applyAlignment="1">
      <alignment horizontal="center"/>
    </xf>
    <xf numFmtId="0" fontId="6" fillId="12" borderId="5" xfId="0" applyFont="1" applyFill="1" applyBorder="1"/>
    <xf numFmtId="0" fontId="6" fillId="12" borderId="5" xfId="0" applyFont="1" applyFill="1" applyBorder="1" applyAlignment="1">
      <alignment horizontal="center" vertical="center"/>
    </xf>
    <xf numFmtId="0" fontId="6" fillId="12" borderId="5" xfId="2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2" fontId="2" fillId="12" borderId="5" xfId="0" applyNumberFormat="1" applyFont="1" applyFill="1" applyBorder="1" applyAlignment="1">
      <alignment horizontal="center"/>
    </xf>
    <xf numFmtId="44" fontId="2" fillId="12" borderId="5" xfId="0" applyNumberFormat="1" applyFont="1" applyFill="1" applyBorder="1" applyAlignment="1">
      <alignment horizontal="center"/>
    </xf>
    <xf numFmtId="44" fontId="2" fillId="12" borderId="5" xfId="0" applyNumberFormat="1" applyFont="1" applyFill="1" applyBorder="1"/>
    <xf numFmtId="165" fontId="6" fillId="12" borderId="5" xfId="0" applyNumberFormat="1" applyFont="1" applyFill="1" applyBorder="1"/>
    <xf numFmtId="165" fontId="2" fillId="12" borderId="5" xfId="0" applyNumberFormat="1" applyFont="1" applyFill="1" applyBorder="1"/>
    <xf numFmtId="165" fontId="2" fillId="12" borderId="5" xfId="3" applyNumberFormat="1" applyFont="1" applyFill="1" applyBorder="1"/>
    <xf numFmtId="165" fontId="2" fillId="11" borderId="5" xfId="3" applyNumberFormat="1" applyFont="1" applyFill="1" applyBorder="1"/>
    <xf numFmtId="0" fontId="9" fillId="13" borderId="5" xfId="0" applyFont="1" applyFill="1" applyBorder="1" applyAlignment="1">
      <alignment horizontal="center" vertical="center"/>
    </xf>
    <xf numFmtId="0" fontId="0" fillId="0" borderId="0" xfId="0" quotePrefix="1"/>
    <xf numFmtId="14" fontId="4" fillId="4" borderId="6" xfId="0" applyNumberFormat="1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center" vertical="center"/>
    </xf>
    <xf numFmtId="14" fontId="4" fillId="4" borderId="8" xfId="0" applyNumberFormat="1" applyFont="1" applyFill="1" applyBorder="1" applyAlignment="1">
      <alignment horizontal="center" vertical="center"/>
    </xf>
    <xf numFmtId="164" fontId="7" fillId="5" borderId="9" xfId="0" applyNumberFormat="1" applyFont="1" applyFill="1" applyBorder="1" applyAlignment="1">
      <alignment horizontal="center"/>
    </xf>
  </cellXfs>
  <cellStyles count="6">
    <cellStyle name="Millares" xfId="1" builtinId="3"/>
    <cellStyle name="Millares 2" xfId="4" xr:uid="{643AB6CF-21F0-45F7-A855-C5D5F6A00DC7}"/>
    <cellStyle name="Moneda" xfId="3" builtinId="4"/>
    <cellStyle name="Moneda 2" xfId="5" xr:uid="{BBA4527B-9704-4702-931C-632773019DE5}"/>
    <cellStyle name="Normal" xfId="0" builtinId="0"/>
    <cellStyle name="Normal 2" xfId="2" xr:uid="{00000000-0005-0000-0000-000003000000}"/>
  </cellStyles>
  <dxfs count="35"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  <dxf>
      <font>
        <color indexed="10"/>
      </font>
    </dxf>
  </dxfs>
  <tableStyles count="0" defaultTableStyle="TableStyleMedium2" defaultPivotStyle="PivotStyleLight16"/>
  <colors>
    <mruColors>
      <color rgb="FFD60093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M1048067"/>
  <sheetViews>
    <sheetView showGridLines="0" tabSelected="1" topLeftCell="N104" zoomScale="95" zoomScaleNormal="95" workbookViewId="0">
      <selection activeCell="W121" sqref="W121"/>
    </sheetView>
  </sheetViews>
  <sheetFormatPr baseColWidth="10" defaultRowHeight="15" x14ac:dyDescent="0.25"/>
  <cols>
    <col min="2" max="2" width="14" style="38" customWidth="1"/>
    <col min="3" max="3" width="46.5703125" customWidth="1"/>
    <col min="4" max="4" width="11.85546875" customWidth="1"/>
    <col min="5" max="5" width="11" customWidth="1"/>
    <col min="6" max="6" width="12.5703125" style="27" customWidth="1"/>
    <col min="7" max="7" width="13.85546875" customWidth="1"/>
    <col min="8" max="8" width="11.42578125" style="27" customWidth="1"/>
    <col min="9" max="9" width="15.140625" style="14" bestFit="1" customWidth="1"/>
    <col min="10" max="10" width="13.85546875" bestFit="1" customWidth="1"/>
    <col min="11" max="11" width="16.28515625" customWidth="1"/>
    <col min="12" max="12" width="12.140625" customWidth="1"/>
    <col min="13" max="15" width="12.7109375" customWidth="1"/>
    <col min="16" max="17" width="13.28515625" customWidth="1"/>
    <col min="18" max="18" width="14.7109375" customWidth="1"/>
    <col min="19" max="19" width="7.85546875" customWidth="1"/>
    <col min="20" max="20" width="14.85546875" bestFit="1" customWidth="1"/>
    <col min="21" max="21" width="14.85546875" customWidth="1"/>
    <col min="22" max="22" width="15.28515625" customWidth="1"/>
    <col min="23" max="23" width="65" style="27" bestFit="1" customWidth="1"/>
    <col min="24" max="24" width="11" customWidth="1"/>
    <col min="25" max="25" width="27.85546875" customWidth="1"/>
  </cols>
  <sheetData>
    <row r="1" spans="1:65" ht="31.5" customHeight="1" x14ac:dyDescent="0.25">
      <c r="T1" s="17" t="s">
        <v>5</v>
      </c>
      <c r="U1" s="17"/>
      <c r="V1" s="17" t="s">
        <v>11</v>
      </c>
      <c r="W1" s="25" t="s">
        <v>18</v>
      </c>
      <c r="X1" s="18" t="s">
        <v>19</v>
      </c>
    </row>
    <row r="2" spans="1:65" ht="42" customHeight="1" x14ac:dyDescent="0.25">
      <c r="T2" s="4" t="s">
        <v>15</v>
      </c>
      <c r="U2" s="4"/>
      <c r="V2" s="6">
        <v>328.57</v>
      </c>
      <c r="W2" s="26">
        <v>27.38</v>
      </c>
      <c r="X2" s="6">
        <v>450</v>
      </c>
    </row>
    <row r="3" spans="1:65" ht="35.25" customHeight="1" x14ac:dyDescent="0.4">
      <c r="B3" s="39" t="s">
        <v>0</v>
      </c>
      <c r="C3" s="19" t="s">
        <v>14</v>
      </c>
      <c r="D3" s="13"/>
      <c r="E3" s="13"/>
      <c r="F3" s="120" t="s">
        <v>44</v>
      </c>
      <c r="G3" s="120"/>
      <c r="H3" s="120"/>
      <c r="I3" s="120"/>
      <c r="J3" s="120"/>
      <c r="K3" s="120"/>
      <c r="L3" s="13"/>
      <c r="M3" s="13"/>
      <c r="N3" s="13"/>
      <c r="O3" s="13"/>
      <c r="P3" s="13"/>
      <c r="Q3" s="13"/>
      <c r="R3" s="13"/>
      <c r="S3" s="13"/>
      <c r="T3" s="5" t="s">
        <v>6</v>
      </c>
      <c r="U3" s="5"/>
      <c r="V3" s="6">
        <v>585.71</v>
      </c>
      <c r="W3" s="26">
        <v>48.8</v>
      </c>
      <c r="X3" s="6">
        <v>600</v>
      </c>
    </row>
    <row r="4" spans="1:65" ht="24" customHeight="1" x14ac:dyDescent="0.25">
      <c r="B4" s="39"/>
      <c r="C4" s="1" t="s">
        <v>249</v>
      </c>
      <c r="D4" s="1"/>
      <c r="E4" s="16"/>
      <c r="F4" s="117" t="s">
        <v>250</v>
      </c>
      <c r="G4" s="118"/>
      <c r="H4" s="118"/>
      <c r="I4" s="118"/>
      <c r="J4" s="118"/>
      <c r="K4" s="119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65" ht="75" x14ac:dyDescent="0.25">
      <c r="B5" s="40" t="s">
        <v>1</v>
      </c>
      <c r="C5" s="2" t="s">
        <v>2</v>
      </c>
      <c r="D5" s="2" t="s">
        <v>5</v>
      </c>
      <c r="E5" s="2" t="s">
        <v>12</v>
      </c>
      <c r="F5" s="7" t="s">
        <v>3</v>
      </c>
      <c r="G5" s="7" t="s">
        <v>18</v>
      </c>
      <c r="H5" s="7" t="s">
        <v>17</v>
      </c>
      <c r="I5" s="8" t="s">
        <v>7</v>
      </c>
      <c r="J5" s="8" t="s">
        <v>8</v>
      </c>
      <c r="K5" s="8" t="s">
        <v>4</v>
      </c>
      <c r="L5" s="8" t="s">
        <v>9</v>
      </c>
      <c r="M5" s="8" t="s">
        <v>42</v>
      </c>
      <c r="N5" s="8" t="s">
        <v>138</v>
      </c>
      <c r="O5" s="8" t="s">
        <v>251</v>
      </c>
      <c r="P5" s="8" t="s">
        <v>84</v>
      </c>
      <c r="Q5" s="8" t="s">
        <v>25</v>
      </c>
      <c r="R5" s="8" t="s">
        <v>59</v>
      </c>
      <c r="S5" s="8" t="s">
        <v>20</v>
      </c>
      <c r="T5" s="8" t="s">
        <v>16</v>
      </c>
      <c r="U5" s="8" t="s">
        <v>85</v>
      </c>
      <c r="V5" s="9" t="s">
        <v>10</v>
      </c>
      <c r="W5" s="24" t="s">
        <v>39</v>
      </c>
    </row>
    <row r="6" spans="1:65" x14ac:dyDescent="0.25">
      <c r="B6" s="29">
        <v>45184</v>
      </c>
      <c r="C6" s="46" t="s">
        <v>60</v>
      </c>
      <c r="D6" s="20" t="s">
        <v>22</v>
      </c>
      <c r="E6" s="50" t="s">
        <v>40</v>
      </c>
      <c r="F6" s="10">
        <v>6</v>
      </c>
      <c r="G6" s="22">
        <v>35.71</v>
      </c>
      <c r="H6" s="10"/>
      <c r="I6" s="15">
        <v>278.8</v>
      </c>
      <c r="J6" s="11">
        <v>428.57</v>
      </c>
      <c r="K6" s="51">
        <f t="shared" ref="K6:K32" si="0">+J6*F6</f>
        <v>2571.42</v>
      </c>
      <c r="L6" s="51">
        <f t="shared" ref="L6:L32" si="1">(1/6)*F6*J6</f>
        <v>428.57</v>
      </c>
      <c r="M6" s="12"/>
      <c r="N6" s="12"/>
      <c r="O6" s="12"/>
      <c r="P6" s="37"/>
      <c r="Q6" s="37"/>
      <c r="R6" s="37"/>
      <c r="S6" s="52"/>
      <c r="T6" s="37">
        <f t="shared" ref="T6:T37" si="2">J6*H6*2</f>
        <v>0</v>
      </c>
      <c r="U6" s="37"/>
      <c r="V6" s="43">
        <f t="shared" ref="V6:V37" si="3">SUM(K6:U6)</f>
        <v>2999.9900000000002</v>
      </c>
      <c r="W6" s="115" t="s">
        <v>254</v>
      </c>
      <c r="Y6" s="32"/>
    </row>
    <row r="7" spans="1:65" s="23" customFormat="1" x14ac:dyDescent="0.25">
      <c r="A7" s="55"/>
      <c r="B7" s="29">
        <v>45184</v>
      </c>
      <c r="C7" s="46" t="s">
        <v>30</v>
      </c>
      <c r="D7" s="20" t="s">
        <v>22</v>
      </c>
      <c r="E7" s="50" t="s">
        <v>40</v>
      </c>
      <c r="F7" s="31">
        <v>6</v>
      </c>
      <c r="G7" s="22">
        <v>35.71</v>
      </c>
      <c r="H7" s="44"/>
      <c r="I7" s="15">
        <v>278.8</v>
      </c>
      <c r="J7" s="11">
        <v>428.57</v>
      </c>
      <c r="K7" s="12">
        <f t="shared" si="0"/>
        <v>2571.42</v>
      </c>
      <c r="L7" s="52">
        <f t="shared" si="1"/>
        <v>428.57</v>
      </c>
      <c r="M7" s="12"/>
      <c r="N7" s="12"/>
      <c r="O7" s="12"/>
      <c r="P7" s="37"/>
      <c r="Q7" s="37"/>
      <c r="R7" s="37"/>
      <c r="S7" s="12"/>
      <c r="T7" s="37">
        <f t="shared" si="2"/>
        <v>0</v>
      </c>
      <c r="U7" s="37"/>
      <c r="V7" s="43">
        <f t="shared" si="3"/>
        <v>2999.9900000000002</v>
      </c>
      <c r="W7" s="63" t="s">
        <v>119</v>
      </c>
      <c r="X7" s="32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</row>
    <row r="8" spans="1:65" s="30" customFormat="1" ht="12.75" x14ac:dyDescent="0.2">
      <c r="B8" s="29">
        <v>45190</v>
      </c>
      <c r="C8" s="46" t="s">
        <v>29</v>
      </c>
      <c r="D8" s="20" t="s">
        <v>22</v>
      </c>
      <c r="E8" s="21" t="s">
        <v>41</v>
      </c>
      <c r="F8" s="31">
        <v>5</v>
      </c>
      <c r="G8" s="22">
        <v>35.71</v>
      </c>
      <c r="H8" s="31"/>
      <c r="I8" s="15">
        <v>278.8</v>
      </c>
      <c r="J8" s="11">
        <v>428.57</v>
      </c>
      <c r="K8" s="37">
        <f t="shared" si="0"/>
        <v>2142.85</v>
      </c>
      <c r="L8" s="37">
        <f t="shared" si="1"/>
        <v>357.14166666666665</v>
      </c>
      <c r="M8" s="51"/>
      <c r="N8" s="12">
        <f>G8*3</f>
        <v>107.13</v>
      </c>
      <c r="O8" s="51">
        <v>428.5</v>
      </c>
      <c r="P8" s="37"/>
      <c r="Q8" s="37"/>
      <c r="R8" s="37"/>
      <c r="S8" s="34"/>
      <c r="T8" s="37">
        <f t="shared" si="2"/>
        <v>0</v>
      </c>
      <c r="U8" s="37"/>
      <c r="V8" s="43">
        <f t="shared" si="3"/>
        <v>3035.6216666666669</v>
      </c>
      <c r="W8" s="61" t="s">
        <v>61</v>
      </c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</row>
    <row r="9" spans="1:65" s="32" customFormat="1" ht="12.75" customHeight="1" x14ac:dyDescent="0.25">
      <c r="B9" s="33">
        <v>45190</v>
      </c>
      <c r="C9" s="46" t="s">
        <v>27</v>
      </c>
      <c r="D9" s="20" t="s">
        <v>22</v>
      </c>
      <c r="E9" s="50" t="s">
        <v>40</v>
      </c>
      <c r="F9" s="10">
        <v>6</v>
      </c>
      <c r="G9" s="22">
        <v>35.71</v>
      </c>
      <c r="H9" s="10"/>
      <c r="I9" s="15">
        <v>278.8</v>
      </c>
      <c r="J9" s="11">
        <v>428.57</v>
      </c>
      <c r="K9" s="51">
        <f t="shared" si="0"/>
        <v>2571.42</v>
      </c>
      <c r="L9" s="51">
        <f t="shared" si="1"/>
        <v>428.57</v>
      </c>
      <c r="M9" s="12">
        <f t="shared" ref="M9:M14" si="4">J9*0.25</f>
        <v>107.1425</v>
      </c>
      <c r="N9" s="12"/>
      <c r="O9" s="12"/>
      <c r="P9" s="37"/>
      <c r="Q9" s="37"/>
      <c r="R9" s="51"/>
      <c r="S9" s="51"/>
      <c r="T9" s="37">
        <f t="shared" si="2"/>
        <v>0</v>
      </c>
      <c r="U9" s="37"/>
      <c r="V9" s="43">
        <f t="shared" si="3"/>
        <v>3107.1325000000002</v>
      </c>
      <c r="W9" s="61" t="s">
        <v>61</v>
      </c>
      <c r="Y9"/>
    </row>
    <row r="10" spans="1:65" s="32" customFormat="1" ht="12.75" customHeight="1" x14ac:dyDescent="0.25">
      <c r="B10" s="29">
        <v>45212</v>
      </c>
      <c r="C10" s="46" t="s">
        <v>31</v>
      </c>
      <c r="D10" s="20" t="s">
        <v>22</v>
      </c>
      <c r="E10" s="50" t="s">
        <v>40</v>
      </c>
      <c r="F10" s="10">
        <v>6</v>
      </c>
      <c r="G10" s="22">
        <v>35.71</v>
      </c>
      <c r="H10" s="10"/>
      <c r="I10" s="15">
        <v>278.8</v>
      </c>
      <c r="J10" s="11">
        <v>428.57</v>
      </c>
      <c r="K10" s="51">
        <f t="shared" si="0"/>
        <v>2571.42</v>
      </c>
      <c r="L10" s="51">
        <f t="shared" si="1"/>
        <v>428.57</v>
      </c>
      <c r="M10" s="12">
        <f t="shared" si="4"/>
        <v>107.1425</v>
      </c>
      <c r="N10" s="12"/>
      <c r="O10" s="12"/>
      <c r="P10" s="37"/>
      <c r="Q10" s="37"/>
      <c r="R10" s="37"/>
      <c r="S10" s="51"/>
      <c r="T10" s="37">
        <f t="shared" si="2"/>
        <v>0</v>
      </c>
      <c r="U10" s="37"/>
      <c r="V10" s="43">
        <f t="shared" si="3"/>
        <v>3107.1325000000002</v>
      </c>
      <c r="W10" s="61" t="s">
        <v>61</v>
      </c>
      <c r="Y10"/>
    </row>
    <row r="11" spans="1:65" s="30" customFormat="1" ht="12.75" customHeight="1" x14ac:dyDescent="0.25">
      <c r="B11" s="41">
        <v>45316</v>
      </c>
      <c r="C11" s="45" t="s">
        <v>38</v>
      </c>
      <c r="D11" s="20" t="s">
        <v>22</v>
      </c>
      <c r="E11" s="84" t="s">
        <v>47</v>
      </c>
      <c r="F11" s="10">
        <v>6</v>
      </c>
      <c r="G11" s="22">
        <v>35.71</v>
      </c>
      <c r="H11" s="10"/>
      <c r="I11" s="15">
        <v>278.8</v>
      </c>
      <c r="J11" s="11">
        <v>428.57</v>
      </c>
      <c r="K11" s="12">
        <f t="shared" si="0"/>
        <v>2571.42</v>
      </c>
      <c r="L11" s="12">
        <f t="shared" si="1"/>
        <v>428.57</v>
      </c>
      <c r="M11" s="12">
        <f t="shared" si="4"/>
        <v>107.1425</v>
      </c>
      <c r="N11" s="12"/>
      <c r="O11" s="12"/>
      <c r="P11" s="37"/>
      <c r="Q11" s="37"/>
      <c r="R11" s="37"/>
      <c r="S11" s="12"/>
      <c r="T11" s="37">
        <f t="shared" si="2"/>
        <v>0</v>
      </c>
      <c r="U11" s="37"/>
      <c r="V11" s="43">
        <f t="shared" si="3"/>
        <v>3107.1325000000002</v>
      </c>
      <c r="W11" s="61" t="s">
        <v>61</v>
      </c>
      <c r="X11"/>
      <c r="Y11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</row>
    <row r="12" spans="1:65" s="30" customFormat="1" x14ac:dyDescent="0.25">
      <c r="B12" s="42">
        <v>45331</v>
      </c>
      <c r="C12" s="48" t="s">
        <v>45</v>
      </c>
      <c r="D12" s="20" t="s">
        <v>22</v>
      </c>
      <c r="E12" s="50" t="s">
        <v>40</v>
      </c>
      <c r="F12" s="10">
        <v>6</v>
      </c>
      <c r="G12" s="22">
        <v>35.71</v>
      </c>
      <c r="H12" s="10"/>
      <c r="I12" s="15">
        <v>278.8</v>
      </c>
      <c r="J12" s="11">
        <v>428.57</v>
      </c>
      <c r="K12" s="51">
        <f t="shared" si="0"/>
        <v>2571.42</v>
      </c>
      <c r="L12" s="51">
        <f t="shared" si="1"/>
        <v>428.57</v>
      </c>
      <c r="M12" s="12">
        <f t="shared" si="4"/>
        <v>107.1425</v>
      </c>
      <c r="N12" s="12"/>
      <c r="O12" s="12">
        <v>428.5</v>
      </c>
      <c r="P12" s="37"/>
      <c r="Q12" s="37"/>
      <c r="R12" s="37"/>
      <c r="S12" s="52"/>
      <c r="T12" s="37">
        <f t="shared" si="2"/>
        <v>0</v>
      </c>
      <c r="U12" s="37"/>
      <c r="V12" s="43">
        <f t="shared" si="3"/>
        <v>3535.6325000000002</v>
      </c>
      <c r="W12" s="61" t="s">
        <v>61</v>
      </c>
      <c r="X1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</row>
    <row r="13" spans="1:65" s="30" customFormat="1" ht="12.75" x14ac:dyDescent="0.2">
      <c r="B13" s="42">
        <v>45362</v>
      </c>
      <c r="C13" s="47" t="s">
        <v>43</v>
      </c>
      <c r="D13" s="49" t="s">
        <v>22</v>
      </c>
      <c r="E13" s="50" t="s">
        <v>40</v>
      </c>
      <c r="F13" s="86">
        <v>6</v>
      </c>
      <c r="G13" s="57">
        <v>35.71</v>
      </c>
      <c r="H13" s="86"/>
      <c r="I13" s="58">
        <v>278.8</v>
      </c>
      <c r="J13" s="59">
        <v>428.57</v>
      </c>
      <c r="K13" s="51">
        <f t="shared" si="0"/>
        <v>2571.42</v>
      </c>
      <c r="L13" s="87">
        <f t="shared" si="1"/>
        <v>428.57</v>
      </c>
      <c r="M13" s="12">
        <f t="shared" si="4"/>
        <v>107.1425</v>
      </c>
      <c r="N13" s="51"/>
      <c r="O13" s="51"/>
      <c r="P13" s="60"/>
      <c r="Q13" s="60"/>
      <c r="R13" s="51"/>
      <c r="S13" s="51"/>
      <c r="T13" s="60">
        <f t="shared" si="2"/>
        <v>0</v>
      </c>
      <c r="U13" s="60"/>
      <c r="V13" s="83">
        <f t="shared" si="3"/>
        <v>3107.1325000000002</v>
      </c>
      <c r="W13" s="61" t="s">
        <v>61</v>
      </c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</row>
    <row r="14" spans="1:65" x14ac:dyDescent="0.25">
      <c r="B14" s="41">
        <v>45365</v>
      </c>
      <c r="C14" s="45" t="s">
        <v>180</v>
      </c>
      <c r="D14" s="20" t="s">
        <v>22</v>
      </c>
      <c r="E14" s="50" t="s">
        <v>40</v>
      </c>
      <c r="F14" s="10">
        <v>6</v>
      </c>
      <c r="G14" s="22">
        <v>35.71</v>
      </c>
      <c r="H14" s="10"/>
      <c r="I14" s="15">
        <v>278.8</v>
      </c>
      <c r="J14" s="11">
        <v>428.57</v>
      </c>
      <c r="K14" s="51">
        <f t="shared" si="0"/>
        <v>2571.42</v>
      </c>
      <c r="L14" s="51">
        <f t="shared" si="1"/>
        <v>428.57</v>
      </c>
      <c r="M14" s="12">
        <f t="shared" si="4"/>
        <v>107.1425</v>
      </c>
      <c r="N14" s="12"/>
      <c r="O14" s="12">
        <v>428.5</v>
      </c>
      <c r="P14" s="37"/>
      <c r="Q14" s="37"/>
      <c r="R14" s="37"/>
      <c r="S14" s="52"/>
      <c r="T14" s="37">
        <f t="shared" si="2"/>
        <v>0</v>
      </c>
      <c r="U14" s="37"/>
      <c r="V14" s="43">
        <f t="shared" si="3"/>
        <v>3535.6325000000002</v>
      </c>
      <c r="W14" s="61" t="s">
        <v>61</v>
      </c>
      <c r="Y14" s="32"/>
    </row>
    <row r="15" spans="1:65" s="32" customFormat="1" x14ac:dyDescent="0.25">
      <c r="B15" s="65">
        <v>45386</v>
      </c>
      <c r="C15" s="66" t="s">
        <v>46</v>
      </c>
      <c r="D15" s="67" t="s">
        <v>22</v>
      </c>
      <c r="E15" s="82" t="s">
        <v>41</v>
      </c>
      <c r="F15" s="68">
        <v>4</v>
      </c>
      <c r="G15" s="69">
        <v>35.71</v>
      </c>
      <c r="H15" s="68"/>
      <c r="I15" s="15">
        <v>278.8</v>
      </c>
      <c r="J15" s="70">
        <v>428.57</v>
      </c>
      <c r="K15" s="71">
        <f t="shared" si="0"/>
        <v>1714.28</v>
      </c>
      <c r="L15" s="71">
        <f t="shared" si="1"/>
        <v>285.71333333333331</v>
      </c>
      <c r="M15" s="51"/>
      <c r="N15" s="71"/>
      <c r="O15" s="71"/>
      <c r="P15" s="71"/>
      <c r="Q15" s="37"/>
      <c r="R15" s="71"/>
      <c r="S15" s="85"/>
      <c r="T15" s="72">
        <f t="shared" si="2"/>
        <v>0</v>
      </c>
      <c r="U15" s="72"/>
      <c r="V15" s="43">
        <f t="shared" si="3"/>
        <v>1999.9933333333333</v>
      </c>
      <c r="W15" s="61" t="s">
        <v>61</v>
      </c>
      <c r="X15" s="55"/>
      <c r="Y15"/>
    </row>
    <row r="16" spans="1:65" x14ac:dyDescent="0.25">
      <c r="B16" s="42">
        <v>45398</v>
      </c>
      <c r="C16" s="48" t="s">
        <v>48</v>
      </c>
      <c r="D16" s="49" t="s">
        <v>22</v>
      </c>
      <c r="E16" s="50" t="s">
        <v>40</v>
      </c>
      <c r="F16" s="10">
        <v>6</v>
      </c>
      <c r="G16" s="22">
        <v>35.71</v>
      </c>
      <c r="H16" s="10"/>
      <c r="I16" s="15">
        <v>278.8</v>
      </c>
      <c r="J16" s="11">
        <v>428.57</v>
      </c>
      <c r="K16" s="51">
        <f t="shared" si="0"/>
        <v>2571.42</v>
      </c>
      <c r="L16" s="51">
        <f t="shared" si="1"/>
        <v>428.57</v>
      </c>
      <c r="M16" s="12">
        <f>J16*0.25</f>
        <v>107.1425</v>
      </c>
      <c r="N16" s="12"/>
      <c r="O16" s="12"/>
      <c r="P16" s="37"/>
      <c r="Q16" s="37"/>
      <c r="R16" s="37"/>
      <c r="S16" s="52"/>
      <c r="T16" s="37">
        <f t="shared" si="2"/>
        <v>0</v>
      </c>
      <c r="U16" s="37"/>
      <c r="V16" s="43">
        <f t="shared" si="3"/>
        <v>3107.1325000000002</v>
      </c>
      <c r="W16" s="61" t="s">
        <v>61</v>
      </c>
    </row>
    <row r="17" spans="2:23" x14ac:dyDescent="0.25">
      <c r="B17" s="42">
        <v>45441</v>
      </c>
      <c r="C17" s="48" t="s">
        <v>49</v>
      </c>
      <c r="D17" s="49" t="s">
        <v>22</v>
      </c>
      <c r="E17" s="50" t="s">
        <v>40</v>
      </c>
      <c r="F17" s="10">
        <v>6</v>
      </c>
      <c r="G17" s="22">
        <v>35.71</v>
      </c>
      <c r="H17" s="10"/>
      <c r="I17" s="15">
        <v>278.8</v>
      </c>
      <c r="J17" s="11">
        <v>428.57</v>
      </c>
      <c r="K17" s="51">
        <f t="shared" si="0"/>
        <v>2571.42</v>
      </c>
      <c r="L17" s="51">
        <f t="shared" si="1"/>
        <v>428.57</v>
      </c>
      <c r="M17" s="12">
        <f>J17*0.25</f>
        <v>107.1425</v>
      </c>
      <c r="N17" s="12"/>
      <c r="O17" s="12">
        <v>428.5</v>
      </c>
      <c r="P17" s="37"/>
      <c r="Q17" s="37"/>
      <c r="R17" s="37"/>
      <c r="S17" s="52"/>
      <c r="T17" s="37">
        <f t="shared" si="2"/>
        <v>0</v>
      </c>
      <c r="U17" s="37"/>
      <c r="V17" s="43">
        <f t="shared" si="3"/>
        <v>3535.6325000000002</v>
      </c>
      <c r="W17" s="61" t="s">
        <v>130</v>
      </c>
    </row>
    <row r="18" spans="2:23" x14ac:dyDescent="0.25">
      <c r="B18" s="33">
        <v>45479</v>
      </c>
      <c r="C18" s="46" t="s">
        <v>51</v>
      </c>
      <c r="D18" s="49" t="s">
        <v>22</v>
      </c>
      <c r="E18" s="50" t="s">
        <v>40</v>
      </c>
      <c r="F18" s="56">
        <v>6</v>
      </c>
      <c r="G18" s="57">
        <v>35.71</v>
      </c>
      <c r="H18" s="56"/>
      <c r="I18" s="58">
        <v>278.8</v>
      </c>
      <c r="J18" s="59">
        <v>428.57</v>
      </c>
      <c r="K18" s="60">
        <f t="shared" si="0"/>
        <v>2571.42</v>
      </c>
      <c r="L18" s="60">
        <f t="shared" si="1"/>
        <v>428.57</v>
      </c>
      <c r="M18" s="12">
        <f>J18*0.25</f>
        <v>107.1425</v>
      </c>
      <c r="N18" s="51"/>
      <c r="O18" s="51"/>
      <c r="P18" s="51"/>
      <c r="Q18" s="51"/>
      <c r="R18" s="60"/>
      <c r="S18" s="60"/>
      <c r="T18" s="60">
        <f t="shared" si="2"/>
        <v>0</v>
      </c>
      <c r="U18" s="60"/>
      <c r="V18" s="83">
        <f t="shared" si="3"/>
        <v>3107.1325000000002</v>
      </c>
      <c r="W18" s="61" t="s">
        <v>194</v>
      </c>
    </row>
    <row r="19" spans="2:23" x14ac:dyDescent="0.25">
      <c r="B19" s="29">
        <v>45527</v>
      </c>
      <c r="C19" s="46" t="s">
        <v>53</v>
      </c>
      <c r="D19" s="20" t="s">
        <v>22</v>
      </c>
      <c r="E19" s="21" t="s">
        <v>40</v>
      </c>
      <c r="F19" s="31">
        <v>4</v>
      </c>
      <c r="G19" s="22">
        <v>35.71</v>
      </c>
      <c r="H19" s="31"/>
      <c r="I19" s="15">
        <v>278.8</v>
      </c>
      <c r="J19" s="11">
        <v>428.57</v>
      </c>
      <c r="K19" s="37">
        <f t="shared" si="0"/>
        <v>1714.28</v>
      </c>
      <c r="L19" s="37">
        <f t="shared" si="1"/>
        <v>285.71333333333331</v>
      </c>
      <c r="M19" s="12">
        <f>J19*0.25</f>
        <v>107.1425</v>
      </c>
      <c r="N19" s="12">
        <f>G19*10</f>
        <v>357.1</v>
      </c>
      <c r="O19" s="12"/>
      <c r="P19" s="37"/>
      <c r="Q19" s="37"/>
      <c r="R19" s="37"/>
      <c r="S19" s="37"/>
      <c r="T19" s="37">
        <f t="shared" si="2"/>
        <v>0</v>
      </c>
      <c r="U19" s="37"/>
      <c r="V19" s="43">
        <f t="shared" si="3"/>
        <v>2464.2358333333332</v>
      </c>
      <c r="W19" s="61" t="s">
        <v>61</v>
      </c>
    </row>
    <row r="20" spans="2:23" x14ac:dyDescent="0.25">
      <c r="B20" s="29">
        <v>45532</v>
      </c>
      <c r="C20" s="46" t="s">
        <v>54</v>
      </c>
      <c r="D20" s="20" t="s">
        <v>22</v>
      </c>
      <c r="E20" s="21" t="s">
        <v>40</v>
      </c>
      <c r="F20" s="31">
        <v>6</v>
      </c>
      <c r="G20" s="22">
        <v>35.71</v>
      </c>
      <c r="H20" s="31"/>
      <c r="I20" s="15">
        <v>278.8</v>
      </c>
      <c r="J20" s="11">
        <v>428.57</v>
      </c>
      <c r="K20" s="37">
        <f t="shared" si="0"/>
        <v>2571.42</v>
      </c>
      <c r="L20" s="37">
        <f t="shared" si="1"/>
        <v>428.57</v>
      </c>
      <c r="M20" s="12">
        <f>J20*0.25</f>
        <v>107.1425</v>
      </c>
      <c r="N20" s="12"/>
      <c r="O20" s="12"/>
      <c r="P20" s="37"/>
      <c r="Q20" s="37"/>
      <c r="R20" s="37"/>
      <c r="S20" s="37"/>
      <c r="T20" s="37">
        <f t="shared" si="2"/>
        <v>0</v>
      </c>
      <c r="U20" s="37"/>
      <c r="V20" s="43">
        <f t="shared" si="3"/>
        <v>3107.1325000000002</v>
      </c>
      <c r="W20" s="61" t="s">
        <v>61</v>
      </c>
    </row>
    <row r="21" spans="2:23" s="55" customFormat="1" x14ac:dyDescent="0.25">
      <c r="B21" s="103">
        <v>45541</v>
      </c>
      <c r="C21" s="104" t="s">
        <v>55</v>
      </c>
      <c r="D21" s="105" t="s">
        <v>22</v>
      </c>
      <c r="E21" s="106" t="s">
        <v>40</v>
      </c>
      <c r="F21" s="107">
        <v>0</v>
      </c>
      <c r="G21" s="108">
        <v>35.71</v>
      </c>
      <c r="H21" s="107"/>
      <c r="I21" s="109">
        <v>278.8</v>
      </c>
      <c r="J21" s="110">
        <v>428.57</v>
      </c>
      <c r="K21" s="111">
        <f t="shared" si="0"/>
        <v>0</v>
      </c>
      <c r="L21" s="111">
        <f t="shared" si="1"/>
        <v>0</v>
      </c>
      <c r="M21" s="112"/>
      <c r="N21" s="112"/>
      <c r="O21" s="112"/>
      <c r="P21" s="111"/>
      <c r="Q21" s="111"/>
      <c r="R21" s="111"/>
      <c r="S21" s="111"/>
      <c r="T21" s="111">
        <f t="shared" si="2"/>
        <v>0</v>
      </c>
      <c r="U21" s="111"/>
      <c r="V21" s="113">
        <f t="shared" si="3"/>
        <v>0</v>
      </c>
      <c r="W21" s="90" t="s">
        <v>252</v>
      </c>
    </row>
    <row r="22" spans="2:23" x14ac:dyDescent="0.25">
      <c r="B22" s="29">
        <v>45588</v>
      </c>
      <c r="C22" s="46" t="s">
        <v>68</v>
      </c>
      <c r="D22" s="20" t="s">
        <v>22</v>
      </c>
      <c r="E22" s="21" t="s">
        <v>41</v>
      </c>
      <c r="F22" s="31">
        <v>5</v>
      </c>
      <c r="G22" s="22">
        <v>35.71</v>
      </c>
      <c r="H22" s="31"/>
      <c r="I22" s="15">
        <v>278.8</v>
      </c>
      <c r="J22" s="11">
        <v>428.57</v>
      </c>
      <c r="K22" s="37">
        <f t="shared" si="0"/>
        <v>2142.85</v>
      </c>
      <c r="L22" s="37">
        <f t="shared" si="1"/>
        <v>357.14166666666665</v>
      </c>
      <c r="M22" s="51"/>
      <c r="N22" s="12"/>
      <c r="O22" s="51">
        <v>428.5</v>
      </c>
      <c r="P22" s="37"/>
      <c r="Q22" s="51"/>
      <c r="R22" s="37"/>
      <c r="S22" s="37"/>
      <c r="T22" s="37">
        <f t="shared" si="2"/>
        <v>0</v>
      </c>
      <c r="U22" s="37"/>
      <c r="V22" s="43">
        <f t="shared" si="3"/>
        <v>2928.4916666666668</v>
      </c>
      <c r="W22" s="63" t="s">
        <v>119</v>
      </c>
    </row>
    <row r="23" spans="2:23" ht="14.25" customHeight="1" x14ac:dyDescent="0.25">
      <c r="B23" s="29">
        <v>45611</v>
      </c>
      <c r="C23" s="46" t="s">
        <v>62</v>
      </c>
      <c r="D23" s="20" t="s">
        <v>22</v>
      </c>
      <c r="E23" s="21" t="s">
        <v>41</v>
      </c>
      <c r="F23" s="31">
        <v>5</v>
      </c>
      <c r="G23" s="22">
        <v>35.71</v>
      </c>
      <c r="H23" s="31"/>
      <c r="I23" s="15">
        <v>278.8</v>
      </c>
      <c r="J23" s="11">
        <v>428.57</v>
      </c>
      <c r="K23" s="37">
        <f t="shared" si="0"/>
        <v>2142.85</v>
      </c>
      <c r="L23" s="37">
        <f t="shared" si="1"/>
        <v>357.14166666666665</v>
      </c>
      <c r="M23" s="51"/>
      <c r="N23" s="12"/>
      <c r="O23" s="12"/>
      <c r="P23" s="37"/>
      <c r="Q23" s="51"/>
      <c r="R23" s="37"/>
      <c r="S23" s="37"/>
      <c r="T23" s="37">
        <f t="shared" si="2"/>
        <v>0</v>
      </c>
      <c r="U23" s="37"/>
      <c r="V23" s="43">
        <f t="shared" si="3"/>
        <v>2499.9916666666668</v>
      </c>
      <c r="W23" s="61" t="s">
        <v>61</v>
      </c>
    </row>
    <row r="24" spans="2:23" ht="14.25" customHeight="1" x14ac:dyDescent="0.25">
      <c r="B24" s="29">
        <v>45613</v>
      </c>
      <c r="C24" s="46" t="s">
        <v>63</v>
      </c>
      <c r="D24" s="20" t="s">
        <v>22</v>
      </c>
      <c r="E24" s="21" t="s">
        <v>41</v>
      </c>
      <c r="F24" s="31">
        <v>6</v>
      </c>
      <c r="G24" s="22">
        <v>35.71</v>
      </c>
      <c r="H24" s="31"/>
      <c r="I24" s="15">
        <v>278.8</v>
      </c>
      <c r="J24" s="11">
        <v>428.57</v>
      </c>
      <c r="K24" s="37">
        <f t="shared" si="0"/>
        <v>2571.42</v>
      </c>
      <c r="L24" s="37">
        <f t="shared" si="1"/>
        <v>428.57</v>
      </c>
      <c r="M24" s="51">
        <f>J24*0.25</f>
        <v>107.1425</v>
      </c>
      <c r="N24" s="12"/>
      <c r="O24" s="12"/>
      <c r="P24" s="37"/>
      <c r="Q24" s="37"/>
      <c r="R24" s="37"/>
      <c r="S24" s="37"/>
      <c r="T24" s="37">
        <f t="shared" si="2"/>
        <v>0</v>
      </c>
      <c r="U24" s="37"/>
      <c r="V24" s="43">
        <f t="shared" si="3"/>
        <v>3107.1325000000002</v>
      </c>
      <c r="W24" s="61" t="s">
        <v>61</v>
      </c>
    </row>
    <row r="25" spans="2:23" ht="14.25" customHeight="1" x14ac:dyDescent="0.25">
      <c r="B25" s="29">
        <v>45662</v>
      </c>
      <c r="C25" s="46" t="s">
        <v>65</v>
      </c>
      <c r="D25" s="20" t="s">
        <v>22</v>
      </c>
      <c r="E25" s="21" t="s">
        <v>40</v>
      </c>
      <c r="F25" s="31">
        <v>6</v>
      </c>
      <c r="G25" s="22">
        <v>35.71</v>
      </c>
      <c r="H25" s="31"/>
      <c r="I25" s="15">
        <v>278.8</v>
      </c>
      <c r="J25" s="11">
        <v>428.57</v>
      </c>
      <c r="K25" s="37">
        <f t="shared" si="0"/>
        <v>2571.42</v>
      </c>
      <c r="L25" s="37">
        <f t="shared" si="1"/>
        <v>428.57</v>
      </c>
      <c r="M25" s="12">
        <f>J25*0.25</f>
        <v>107.1425</v>
      </c>
      <c r="N25" s="12"/>
      <c r="O25" s="12"/>
      <c r="P25" s="37"/>
      <c r="Q25" s="37"/>
      <c r="R25" s="37"/>
      <c r="S25" s="37"/>
      <c r="T25" s="37">
        <f t="shared" si="2"/>
        <v>0</v>
      </c>
      <c r="U25" s="37"/>
      <c r="V25" s="43">
        <f t="shared" si="3"/>
        <v>3107.1325000000002</v>
      </c>
      <c r="W25" s="61" t="s">
        <v>61</v>
      </c>
    </row>
    <row r="26" spans="2:23" ht="14.25" customHeight="1" x14ac:dyDescent="0.25">
      <c r="B26" s="29">
        <v>45662</v>
      </c>
      <c r="C26" s="46" t="s">
        <v>66</v>
      </c>
      <c r="D26" s="20" t="s">
        <v>22</v>
      </c>
      <c r="E26" s="21" t="s">
        <v>40</v>
      </c>
      <c r="F26" s="31">
        <v>6</v>
      </c>
      <c r="G26" s="22">
        <v>35.71</v>
      </c>
      <c r="H26" s="31"/>
      <c r="I26" s="15">
        <v>278.8</v>
      </c>
      <c r="J26" s="11">
        <v>428.57</v>
      </c>
      <c r="K26" s="37">
        <f t="shared" si="0"/>
        <v>2571.42</v>
      </c>
      <c r="L26" s="37">
        <f t="shared" si="1"/>
        <v>428.57</v>
      </c>
      <c r="M26" s="12">
        <f>J26*0.25</f>
        <v>107.1425</v>
      </c>
      <c r="N26" s="12"/>
      <c r="O26" s="12"/>
      <c r="P26" s="37"/>
      <c r="Q26" s="37"/>
      <c r="R26" s="37"/>
      <c r="S26" s="37"/>
      <c r="T26" s="37">
        <f t="shared" si="2"/>
        <v>0</v>
      </c>
      <c r="U26" s="37"/>
      <c r="V26" s="43">
        <f t="shared" si="3"/>
        <v>3107.1325000000002</v>
      </c>
      <c r="W26" s="61" t="s">
        <v>61</v>
      </c>
    </row>
    <row r="27" spans="2:23" s="55" customFormat="1" ht="14.25" customHeight="1" x14ac:dyDescent="0.25">
      <c r="B27" s="33">
        <v>45668</v>
      </c>
      <c r="C27" s="46" t="s">
        <v>50</v>
      </c>
      <c r="D27" s="49" t="s">
        <v>22</v>
      </c>
      <c r="E27" s="50" t="s">
        <v>41</v>
      </c>
      <c r="F27" s="56">
        <v>6</v>
      </c>
      <c r="G27" s="57">
        <v>35.71</v>
      </c>
      <c r="H27" s="56"/>
      <c r="I27" s="58">
        <v>278.8</v>
      </c>
      <c r="J27" s="59">
        <v>428.57</v>
      </c>
      <c r="K27" s="60">
        <f t="shared" si="0"/>
        <v>2571.42</v>
      </c>
      <c r="L27" s="60">
        <f t="shared" si="1"/>
        <v>428.57</v>
      </c>
      <c r="M27" s="51"/>
      <c r="N27" s="51"/>
      <c r="O27" s="51"/>
      <c r="P27" s="37"/>
      <c r="Q27" s="37"/>
      <c r="R27" s="60"/>
      <c r="S27" s="60"/>
      <c r="T27" s="60">
        <f t="shared" si="2"/>
        <v>0</v>
      </c>
      <c r="U27" s="60"/>
      <c r="V27" s="43">
        <f t="shared" si="3"/>
        <v>2999.9900000000002</v>
      </c>
      <c r="W27" s="61" t="s">
        <v>61</v>
      </c>
    </row>
    <row r="28" spans="2:23" ht="14.25" customHeight="1" x14ac:dyDescent="0.25">
      <c r="B28" s="29">
        <v>45686</v>
      </c>
      <c r="C28" s="46" t="s">
        <v>70</v>
      </c>
      <c r="D28" s="20" t="s">
        <v>22</v>
      </c>
      <c r="E28" s="21" t="s">
        <v>41</v>
      </c>
      <c r="F28" s="31">
        <v>6</v>
      </c>
      <c r="G28" s="22">
        <v>35.71</v>
      </c>
      <c r="H28" s="31"/>
      <c r="I28" s="15">
        <v>278.8</v>
      </c>
      <c r="J28" s="11">
        <v>428.57</v>
      </c>
      <c r="K28" s="37">
        <f t="shared" si="0"/>
        <v>2571.42</v>
      </c>
      <c r="L28" s="37">
        <f t="shared" si="1"/>
        <v>428.57</v>
      </c>
      <c r="M28" s="51"/>
      <c r="N28" s="12"/>
      <c r="O28" s="12"/>
      <c r="P28" s="37"/>
      <c r="Q28" s="37"/>
      <c r="R28" s="37"/>
      <c r="S28" s="37"/>
      <c r="T28" s="37">
        <f t="shared" si="2"/>
        <v>0</v>
      </c>
      <c r="U28" s="37"/>
      <c r="V28" s="43">
        <f t="shared" si="3"/>
        <v>2999.9900000000002</v>
      </c>
      <c r="W28" s="61" t="s">
        <v>61</v>
      </c>
    </row>
    <row r="29" spans="2:23" ht="14.25" customHeight="1" x14ac:dyDescent="0.25">
      <c r="B29" s="33">
        <v>45688</v>
      </c>
      <c r="C29" s="46" t="s">
        <v>71</v>
      </c>
      <c r="D29" s="49" t="s">
        <v>6</v>
      </c>
      <c r="E29" s="21" t="s">
        <v>40</v>
      </c>
      <c r="F29" s="56">
        <v>6</v>
      </c>
      <c r="G29" s="88">
        <v>48.8</v>
      </c>
      <c r="H29" s="56"/>
      <c r="I29" s="58">
        <v>278.8</v>
      </c>
      <c r="J29" s="89">
        <v>585.71</v>
      </c>
      <c r="K29" s="60">
        <f t="shared" si="0"/>
        <v>3514.26</v>
      </c>
      <c r="L29" s="60">
        <f t="shared" si="1"/>
        <v>585.71</v>
      </c>
      <c r="M29" s="51"/>
      <c r="N29" s="60"/>
      <c r="O29" s="37">
        <v>585.70000000000005</v>
      </c>
      <c r="P29" s="60"/>
      <c r="Q29" s="60"/>
      <c r="R29" s="60"/>
      <c r="S29" s="52"/>
      <c r="T29" s="60">
        <f t="shared" si="2"/>
        <v>0</v>
      </c>
      <c r="U29" s="60"/>
      <c r="V29" s="83">
        <f t="shared" si="3"/>
        <v>4685.67</v>
      </c>
      <c r="W29" s="61" t="s">
        <v>61</v>
      </c>
    </row>
    <row r="30" spans="2:23" ht="14.25" customHeight="1" x14ac:dyDescent="0.25">
      <c r="B30" s="29">
        <v>45691</v>
      </c>
      <c r="C30" s="46" t="s">
        <v>72</v>
      </c>
      <c r="D30" s="20" t="s">
        <v>6</v>
      </c>
      <c r="E30" s="21" t="s">
        <v>41</v>
      </c>
      <c r="F30" s="31">
        <v>6</v>
      </c>
      <c r="G30" s="35">
        <v>48.8</v>
      </c>
      <c r="H30" s="31"/>
      <c r="I30" s="15">
        <v>278.8</v>
      </c>
      <c r="J30" s="36">
        <v>585.71</v>
      </c>
      <c r="K30" s="37">
        <f t="shared" si="0"/>
        <v>3514.26</v>
      </c>
      <c r="L30" s="37">
        <f t="shared" si="1"/>
        <v>585.71</v>
      </c>
      <c r="M30" s="51">
        <f>J30*0.25</f>
        <v>146.42750000000001</v>
      </c>
      <c r="N30" s="12"/>
      <c r="O30" s="12">
        <v>585.70000000000005</v>
      </c>
      <c r="P30" s="37">
        <f>G30*3</f>
        <v>146.39999999999998</v>
      </c>
      <c r="Q30" s="37"/>
      <c r="R30" s="37"/>
      <c r="S30" s="37"/>
      <c r="T30" s="37">
        <f t="shared" si="2"/>
        <v>0</v>
      </c>
      <c r="U30" s="37"/>
      <c r="V30" s="43">
        <f t="shared" si="3"/>
        <v>4978.4974999999995</v>
      </c>
      <c r="W30" s="90" t="s">
        <v>161</v>
      </c>
    </row>
    <row r="31" spans="2:23" ht="14.25" customHeight="1" x14ac:dyDescent="0.25">
      <c r="B31" s="29">
        <v>45694</v>
      </c>
      <c r="C31" s="46" t="s">
        <v>73</v>
      </c>
      <c r="D31" s="20" t="s">
        <v>22</v>
      </c>
      <c r="E31" s="21" t="s">
        <v>40</v>
      </c>
      <c r="F31" s="31">
        <v>6</v>
      </c>
      <c r="G31" s="22">
        <v>35.71</v>
      </c>
      <c r="H31" s="31"/>
      <c r="I31" s="15">
        <v>278.8</v>
      </c>
      <c r="J31" s="11">
        <v>428.57</v>
      </c>
      <c r="K31" s="37">
        <f t="shared" si="0"/>
        <v>2571.42</v>
      </c>
      <c r="L31" s="37">
        <f t="shared" si="1"/>
        <v>428.57</v>
      </c>
      <c r="M31" s="12"/>
      <c r="N31" s="12"/>
      <c r="O31" s="12"/>
      <c r="P31" s="37"/>
      <c r="Q31" s="37"/>
      <c r="R31" s="37"/>
      <c r="S31" s="37"/>
      <c r="T31" s="37">
        <f t="shared" si="2"/>
        <v>0</v>
      </c>
      <c r="U31" s="37"/>
      <c r="V31" s="43">
        <f t="shared" si="3"/>
        <v>2999.9900000000002</v>
      </c>
      <c r="W31" s="61" t="s">
        <v>61</v>
      </c>
    </row>
    <row r="32" spans="2:23" ht="14.25" customHeight="1" x14ac:dyDescent="0.25">
      <c r="B32" s="29">
        <v>45706</v>
      </c>
      <c r="C32" s="46" t="s">
        <v>86</v>
      </c>
      <c r="D32" s="20" t="s">
        <v>22</v>
      </c>
      <c r="E32" s="21" t="s">
        <v>41</v>
      </c>
      <c r="F32" s="31">
        <v>6</v>
      </c>
      <c r="G32" s="22">
        <v>35.71</v>
      </c>
      <c r="H32" s="31"/>
      <c r="I32" s="15">
        <v>278.8</v>
      </c>
      <c r="J32" s="11">
        <v>428.57</v>
      </c>
      <c r="K32" s="37">
        <f t="shared" si="0"/>
        <v>2571.42</v>
      </c>
      <c r="L32" s="37">
        <f t="shared" si="1"/>
        <v>428.57</v>
      </c>
      <c r="M32" s="51"/>
      <c r="N32" s="12"/>
      <c r="O32" s="12"/>
      <c r="P32" s="37"/>
      <c r="Q32" s="37"/>
      <c r="R32" s="37"/>
      <c r="S32" s="37"/>
      <c r="T32" s="37">
        <f t="shared" si="2"/>
        <v>0</v>
      </c>
      <c r="U32" s="37"/>
      <c r="V32" s="43">
        <f t="shared" si="3"/>
        <v>2999.9900000000002</v>
      </c>
      <c r="W32" s="61" t="s">
        <v>61</v>
      </c>
    </row>
    <row r="33" spans="2:23" ht="14.25" customHeight="1" x14ac:dyDescent="0.25">
      <c r="B33" s="29">
        <v>45707</v>
      </c>
      <c r="C33" s="46" t="s">
        <v>76</v>
      </c>
      <c r="D33" s="20" t="s">
        <v>22</v>
      </c>
      <c r="E33" s="21" t="s">
        <v>41</v>
      </c>
      <c r="F33" s="31">
        <v>6</v>
      </c>
      <c r="G33" s="22">
        <v>35.71</v>
      </c>
      <c r="H33" s="31"/>
      <c r="I33" s="15">
        <v>278.8</v>
      </c>
      <c r="J33" s="11">
        <v>428.57</v>
      </c>
      <c r="K33" s="37">
        <f t="shared" ref="K33:K58" si="5">+J33*F33</f>
        <v>2571.42</v>
      </c>
      <c r="L33" s="37">
        <f t="shared" ref="L33:L58" si="6">(1/6)*F33*J33</f>
        <v>428.57</v>
      </c>
      <c r="M33" s="51">
        <f>J33*0.25</f>
        <v>107.1425</v>
      </c>
      <c r="N33" s="12"/>
      <c r="O33" s="12">
        <v>428.5</v>
      </c>
      <c r="P33" s="37"/>
      <c r="Q33" s="37"/>
      <c r="R33" s="37"/>
      <c r="S33" s="37"/>
      <c r="T33" s="37">
        <f t="shared" si="2"/>
        <v>0</v>
      </c>
      <c r="U33" s="37"/>
      <c r="V33" s="43">
        <f t="shared" si="3"/>
        <v>3535.6325000000002</v>
      </c>
      <c r="W33" s="61" t="s">
        <v>61</v>
      </c>
    </row>
    <row r="34" spans="2:23" ht="14.25" customHeight="1" x14ac:dyDescent="0.25">
      <c r="B34" s="29">
        <v>45707</v>
      </c>
      <c r="C34" s="46" t="s">
        <v>77</v>
      </c>
      <c r="D34" s="20" t="s">
        <v>22</v>
      </c>
      <c r="E34" s="21" t="s">
        <v>41</v>
      </c>
      <c r="F34" s="31">
        <v>6</v>
      </c>
      <c r="G34" s="22">
        <v>35.71</v>
      </c>
      <c r="H34" s="31"/>
      <c r="I34" s="15">
        <v>278.8</v>
      </c>
      <c r="J34" s="11">
        <v>428.57</v>
      </c>
      <c r="K34" s="37">
        <f t="shared" si="5"/>
        <v>2571.42</v>
      </c>
      <c r="L34" s="37">
        <f t="shared" si="6"/>
        <v>428.57</v>
      </c>
      <c r="M34" s="51"/>
      <c r="N34" s="12"/>
      <c r="O34" s="12"/>
      <c r="P34" s="37"/>
      <c r="Q34" s="37"/>
      <c r="R34" s="37"/>
      <c r="S34" s="37"/>
      <c r="T34" s="37">
        <f t="shared" si="2"/>
        <v>0</v>
      </c>
      <c r="U34" s="37"/>
      <c r="V34" s="43">
        <f t="shared" si="3"/>
        <v>2999.9900000000002</v>
      </c>
      <c r="W34" s="61" t="s">
        <v>140</v>
      </c>
    </row>
    <row r="35" spans="2:23" ht="14.25" customHeight="1" x14ac:dyDescent="0.25">
      <c r="B35" s="29">
        <v>45716</v>
      </c>
      <c r="C35" s="46" t="s">
        <v>79</v>
      </c>
      <c r="D35" s="20" t="s">
        <v>22</v>
      </c>
      <c r="E35" s="21" t="s">
        <v>40</v>
      </c>
      <c r="F35" s="31">
        <v>5</v>
      </c>
      <c r="G35" s="22">
        <v>35.71</v>
      </c>
      <c r="H35" s="31"/>
      <c r="I35" s="15">
        <v>278.8</v>
      </c>
      <c r="J35" s="11">
        <v>428.57</v>
      </c>
      <c r="K35" s="37">
        <f t="shared" si="5"/>
        <v>2142.85</v>
      </c>
      <c r="L35" s="37">
        <f t="shared" si="6"/>
        <v>357.14166666666665</v>
      </c>
      <c r="M35" s="12"/>
      <c r="N35" s="12">
        <f>G35*9</f>
        <v>321.39</v>
      </c>
      <c r="O35" s="12"/>
      <c r="P35" s="37"/>
      <c r="Q35" s="37"/>
      <c r="R35" s="37"/>
      <c r="S35" s="37"/>
      <c r="T35" s="37">
        <f t="shared" si="2"/>
        <v>0</v>
      </c>
      <c r="U35" s="37"/>
      <c r="V35" s="43">
        <f t="shared" si="3"/>
        <v>2821.3816666666667</v>
      </c>
      <c r="W35" s="61" t="s">
        <v>227</v>
      </c>
    </row>
    <row r="36" spans="2:23" ht="14.25" customHeight="1" x14ac:dyDescent="0.25">
      <c r="B36" s="29">
        <v>45721</v>
      </c>
      <c r="C36" s="46" t="s">
        <v>80</v>
      </c>
      <c r="D36" s="20" t="s">
        <v>22</v>
      </c>
      <c r="E36" s="21" t="s">
        <v>40</v>
      </c>
      <c r="F36" s="31">
        <v>5</v>
      </c>
      <c r="G36" s="22">
        <v>35.71</v>
      </c>
      <c r="H36" s="31"/>
      <c r="I36" s="15">
        <v>278.8</v>
      </c>
      <c r="J36" s="11">
        <v>428.57</v>
      </c>
      <c r="K36" s="37">
        <f t="shared" si="5"/>
        <v>2142.85</v>
      </c>
      <c r="L36" s="37">
        <f t="shared" si="6"/>
        <v>357.14166666666665</v>
      </c>
      <c r="M36" s="12"/>
      <c r="N36" s="12"/>
      <c r="O36" s="12"/>
      <c r="P36" s="37"/>
      <c r="Q36" s="37"/>
      <c r="R36" s="37"/>
      <c r="S36" s="37"/>
      <c r="T36" s="37">
        <f t="shared" si="2"/>
        <v>0</v>
      </c>
      <c r="U36" s="37"/>
      <c r="V36" s="43">
        <f t="shared" si="3"/>
        <v>2499.9916666666668</v>
      </c>
      <c r="W36" s="61" t="s">
        <v>61</v>
      </c>
    </row>
    <row r="37" spans="2:23" ht="14.25" customHeight="1" x14ac:dyDescent="0.25">
      <c r="B37" s="33">
        <v>45740</v>
      </c>
      <c r="C37" s="46" t="s">
        <v>81</v>
      </c>
      <c r="D37" s="49" t="s">
        <v>22</v>
      </c>
      <c r="E37" s="50" t="s">
        <v>40</v>
      </c>
      <c r="F37" s="56">
        <v>6</v>
      </c>
      <c r="G37" s="57">
        <v>35.71</v>
      </c>
      <c r="H37" s="56"/>
      <c r="I37" s="58">
        <v>278.8</v>
      </c>
      <c r="J37" s="59">
        <v>428.57</v>
      </c>
      <c r="K37" s="60">
        <f t="shared" si="5"/>
        <v>2571.42</v>
      </c>
      <c r="L37" s="60">
        <f t="shared" si="6"/>
        <v>428.57</v>
      </c>
      <c r="M37" s="12">
        <f>J37*0.25</f>
        <v>107.1425</v>
      </c>
      <c r="N37" s="51"/>
      <c r="O37" s="51"/>
      <c r="P37" s="60">
        <f>G37*1</f>
        <v>35.71</v>
      </c>
      <c r="Q37" s="60"/>
      <c r="R37" s="60"/>
      <c r="S37" s="60"/>
      <c r="T37" s="60">
        <f t="shared" si="2"/>
        <v>0</v>
      </c>
      <c r="U37" s="60"/>
      <c r="V37" s="83">
        <f t="shared" si="3"/>
        <v>3142.8425000000002</v>
      </c>
      <c r="W37" s="61" t="s">
        <v>61</v>
      </c>
    </row>
    <row r="38" spans="2:23" ht="14.25" customHeight="1" x14ac:dyDescent="0.25">
      <c r="B38" s="29">
        <v>45751</v>
      </c>
      <c r="C38" s="46" t="s">
        <v>83</v>
      </c>
      <c r="D38" s="20" t="s">
        <v>22</v>
      </c>
      <c r="E38" s="21" t="s">
        <v>41</v>
      </c>
      <c r="F38" s="31">
        <v>6</v>
      </c>
      <c r="G38" s="22">
        <v>35.71</v>
      </c>
      <c r="H38" s="31"/>
      <c r="I38" s="15">
        <v>278.8</v>
      </c>
      <c r="J38" s="11">
        <v>428.57</v>
      </c>
      <c r="K38" s="37">
        <f t="shared" si="5"/>
        <v>2571.42</v>
      </c>
      <c r="L38" s="37">
        <f t="shared" si="6"/>
        <v>428.57</v>
      </c>
      <c r="M38" s="51"/>
      <c r="N38" s="12"/>
      <c r="O38" s="12">
        <v>428.5</v>
      </c>
      <c r="P38" s="37"/>
      <c r="Q38" s="37"/>
      <c r="R38" s="37"/>
      <c r="S38" s="37"/>
      <c r="T38" s="37">
        <f t="shared" ref="T38:T69" si="7">J38*H38*2</f>
        <v>0</v>
      </c>
      <c r="U38" s="37"/>
      <c r="V38" s="43">
        <f t="shared" ref="V38:V69" si="8">SUM(K38:U38)</f>
        <v>3428.4900000000002</v>
      </c>
      <c r="W38" s="61" t="s">
        <v>61</v>
      </c>
    </row>
    <row r="39" spans="2:23" ht="14.25" customHeight="1" x14ac:dyDescent="0.25">
      <c r="B39" s="29">
        <v>45752</v>
      </c>
      <c r="C39" s="46" t="s">
        <v>82</v>
      </c>
      <c r="D39" s="20" t="s">
        <v>22</v>
      </c>
      <c r="E39" s="21" t="s">
        <v>40</v>
      </c>
      <c r="F39" s="31">
        <v>5</v>
      </c>
      <c r="G39" s="22">
        <v>35.71</v>
      </c>
      <c r="H39" s="31"/>
      <c r="I39" s="15">
        <v>278.8</v>
      </c>
      <c r="J39" s="11">
        <v>428.57</v>
      </c>
      <c r="K39" s="37">
        <f t="shared" si="5"/>
        <v>2142.85</v>
      </c>
      <c r="L39" s="37">
        <f t="shared" si="6"/>
        <v>357.14166666666665</v>
      </c>
      <c r="M39" s="12">
        <f>J39*0.25</f>
        <v>107.1425</v>
      </c>
      <c r="N39" s="12"/>
      <c r="O39" s="12"/>
      <c r="P39" s="37"/>
      <c r="Q39" s="37"/>
      <c r="R39" s="37"/>
      <c r="S39" s="37"/>
      <c r="T39" s="37">
        <f t="shared" si="7"/>
        <v>0</v>
      </c>
      <c r="U39" s="37"/>
      <c r="V39" s="43">
        <f t="shared" si="8"/>
        <v>2607.1341666666667</v>
      </c>
      <c r="W39" s="61" t="s">
        <v>61</v>
      </c>
    </row>
    <row r="40" spans="2:23" ht="14.25" customHeight="1" x14ac:dyDescent="0.25">
      <c r="B40" s="29">
        <v>45775</v>
      </c>
      <c r="C40" s="46" t="s">
        <v>87</v>
      </c>
      <c r="D40" s="20" t="s">
        <v>22</v>
      </c>
      <c r="E40" s="21" t="s">
        <v>41</v>
      </c>
      <c r="F40" s="31">
        <v>6</v>
      </c>
      <c r="G40" s="22">
        <v>35.71</v>
      </c>
      <c r="H40" s="31"/>
      <c r="I40" s="15">
        <v>278.8</v>
      </c>
      <c r="J40" s="11">
        <v>428.57</v>
      </c>
      <c r="K40" s="37">
        <f t="shared" si="5"/>
        <v>2571.42</v>
      </c>
      <c r="L40" s="37">
        <f t="shared" si="6"/>
        <v>428.57</v>
      </c>
      <c r="M40" s="51">
        <f>J40*0.25</f>
        <v>107.1425</v>
      </c>
      <c r="N40" s="12"/>
      <c r="O40" s="12">
        <v>428.5</v>
      </c>
      <c r="P40" s="37"/>
      <c r="Q40" s="37"/>
      <c r="R40" s="37"/>
      <c r="S40" s="37"/>
      <c r="T40" s="37">
        <f t="shared" si="7"/>
        <v>0</v>
      </c>
      <c r="U40" s="37"/>
      <c r="V40" s="43">
        <f t="shared" si="8"/>
        <v>3535.6325000000002</v>
      </c>
      <c r="W40" s="61" t="s">
        <v>61</v>
      </c>
    </row>
    <row r="41" spans="2:23" x14ac:dyDescent="0.25">
      <c r="B41" s="29">
        <v>45793</v>
      </c>
      <c r="C41" s="46" t="s">
        <v>89</v>
      </c>
      <c r="D41" s="20" t="s">
        <v>22</v>
      </c>
      <c r="E41" s="21" t="s">
        <v>40</v>
      </c>
      <c r="F41" s="31">
        <v>5</v>
      </c>
      <c r="G41" s="22">
        <v>35.71</v>
      </c>
      <c r="H41" s="31"/>
      <c r="I41" s="15">
        <v>278.8</v>
      </c>
      <c r="J41" s="11">
        <v>428.57</v>
      </c>
      <c r="K41" s="37">
        <f t="shared" si="5"/>
        <v>2142.85</v>
      </c>
      <c r="L41" s="37">
        <f t="shared" si="6"/>
        <v>357.14166666666665</v>
      </c>
      <c r="M41" s="12">
        <f>J41*0.25</f>
        <v>107.1425</v>
      </c>
      <c r="N41" s="51">
        <f>G41*11</f>
        <v>392.81</v>
      </c>
      <c r="O41" s="12"/>
      <c r="P41" s="37"/>
      <c r="Q41" s="37"/>
      <c r="R41" s="37"/>
      <c r="S41" s="37"/>
      <c r="T41" s="37">
        <f t="shared" si="7"/>
        <v>0</v>
      </c>
      <c r="U41" s="37"/>
      <c r="V41" s="43">
        <f t="shared" si="8"/>
        <v>2999.9441666666667</v>
      </c>
      <c r="W41" s="61" t="s">
        <v>164</v>
      </c>
    </row>
    <row r="42" spans="2:23" x14ac:dyDescent="0.25">
      <c r="B42" s="29">
        <v>45819</v>
      </c>
      <c r="C42" s="46" t="s">
        <v>96</v>
      </c>
      <c r="D42" s="20" t="s">
        <v>22</v>
      </c>
      <c r="E42" s="21" t="s">
        <v>41</v>
      </c>
      <c r="F42" s="31">
        <v>5</v>
      </c>
      <c r="G42" s="22">
        <v>35.71</v>
      </c>
      <c r="H42" s="31"/>
      <c r="I42" s="15">
        <v>278.8</v>
      </c>
      <c r="J42" s="11">
        <v>428.57</v>
      </c>
      <c r="K42" s="37">
        <f>+J42*F42</f>
        <v>2142.85</v>
      </c>
      <c r="L42" s="37">
        <f>(1/6)*F42*J42</f>
        <v>357.14166666666665</v>
      </c>
      <c r="M42" s="51">
        <f>J42*0.25</f>
        <v>107.1425</v>
      </c>
      <c r="N42" s="12"/>
      <c r="O42" s="12"/>
      <c r="P42" s="37"/>
      <c r="Q42" s="37"/>
      <c r="R42" s="37"/>
      <c r="S42" s="37"/>
      <c r="T42" s="37">
        <f t="shared" si="7"/>
        <v>0</v>
      </c>
      <c r="U42" s="37"/>
      <c r="V42" s="43">
        <f t="shared" si="8"/>
        <v>2607.1341666666667</v>
      </c>
      <c r="W42" s="115" t="s">
        <v>254</v>
      </c>
    </row>
    <row r="43" spans="2:23" x14ac:dyDescent="0.25">
      <c r="B43" s="29">
        <v>45827</v>
      </c>
      <c r="C43" s="46" t="s">
        <v>98</v>
      </c>
      <c r="D43" s="20" t="s">
        <v>22</v>
      </c>
      <c r="E43" s="21" t="s">
        <v>40</v>
      </c>
      <c r="F43" s="31">
        <v>5</v>
      </c>
      <c r="G43" s="22">
        <v>35.71</v>
      </c>
      <c r="H43" s="31"/>
      <c r="I43" s="15">
        <v>278.8</v>
      </c>
      <c r="J43" s="11">
        <v>428.57</v>
      </c>
      <c r="K43" s="37">
        <f t="shared" si="5"/>
        <v>2142.85</v>
      </c>
      <c r="L43" s="37">
        <f t="shared" si="6"/>
        <v>357.14166666666665</v>
      </c>
      <c r="M43" s="12">
        <f>J43*0.25</f>
        <v>107.1425</v>
      </c>
      <c r="N43" s="12"/>
      <c r="O43" s="12"/>
      <c r="P43" s="37"/>
      <c r="Q43" s="37"/>
      <c r="R43" s="37"/>
      <c r="S43" s="37"/>
      <c r="T43" s="37">
        <f t="shared" si="7"/>
        <v>0</v>
      </c>
      <c r="U43" s="37"/>
      <c r="V43" s="43">
        <f t="shared" si="8"/>
        <v>2607.1341666666667</v>
      </c>
      <c r="W43" s="61" t="s">
        <v>61</v>
      </c>
    </row>
    <row r="44" spans="2:23" x14ac:dyDescent="0.25">
      <c r="B44" s="29">
        <v>45840</v>
      </c>
      <c r="C44" s="46" t="s">
        <v>100</v>
      </c>
      <c r="D44" s="20" t="s">
        <v>22</v>
      </c>
      <c r="E44" s="21" t="s">
        <v>41</v>
      </c>
      <c r="F44" s="31">
        <v>6</v>
      </c>
      <c r="G44" s="22">
        <v>35.71</v>
      </c>
      <c r="H44" s="31"/>
      <c r="I44" s="15">
        <v>278.8</v>
      </c>
      <c r="J44" s="11">
        <v>428.57</v>
      </c>
      <c r="K44" s="37">
        <f>+J44*F44</f>
        <v>2571.42</v>
      </c>
      <c r="L44" s="37">
        <f>(1/6)*F44*J44</f>
        <v>428.57</v>
      </c>
      <c r="M44" s="51"/>
      <c r="N44" s="12"/>
      <c r="O44" s="12"/>
      <c r="P44" s="37"/>
      <c r="Q44" s="37"/>
      <c r="R44" s="37"/>
      <c r="S44" s="37"/>
      <c r="T44" s="37">
        <f t="shared" si="7"/>
        <v>0</v>
      </c>
      <c r="U44" s="37"/>
      <c r="V44" s="43">
        <f t="shared" si="8"/>
        <v>2999.9900000000002</v>
      </c>
      <c r="W44" s="115" t="s">
        <v>256</v>
      </c>
    </row>
    <row r="45" spans="2:23" x14ac:dyDescent="0.25">
      <c r="B45" s="29">
        <v>45848</v>
      </c>
      <c r="C45" s="46" t="s">
        <v>101</v>
      </c>
      <c r="D45" s="20" t="s">
        <v>22</v>
      </c>
      <c r="E45" s="21" t="s">
        <v>41</v>
      </c>
      <c r="F45" s="31">
        <v>6</v>
      </c>
      <c r="G45" s="22">
        <v>35.71</v>
      </c>
      <c r="H45" s="31"/>
      <c r="I45" s="15">
        <v>278.8</v>
      </c>
      <c r="J45" s="11">
        <v>428.57</v>
      </c>
      <c r="K45" s="37">
        <f t="shared" si="5"/>
        <v>2571.42</v>
      </c>
      <c r="L45" s="37">
        <f t="shared" si="6"/>
        <v>428.57</v>
      </c>
      <c r="M45" s="51">
        <f>J45*0.25</f>
        <v>107.1425</v>
      </c>
      <c r="N45" s="12"/>
      <c r="O45" s="12"/>
      <c r="P45" s="37"/>
      <c r="Q45" s="37"/>
      <c r="R45" s="37"/>
      <c r="S45" s="37"/>
      <c r="T45" s="37">
        <f t="shared" si="7"/>
        <v>0</v>
      </c>
      <c r="U45" s="37"/>
      <c r="V45" s="43">
        <f t="shared" si="8"/>
        <v>3107.1325000000002</v>
      </c>
      <c r="W45" s="61" t="s">
        <v>228</v>
      </c>
    </row>
    <row r="46" spans="2:23" x14ac:dyDescent="0.25">
      <c r="B46" s="29">
        <v>45854</v>
      </c>
      <c r="C46" s="46" t="s">
        <v>165</v>
      </c>
      <c r="D46" s="20" t="s">
        <v>22</v>
      </c>
      <c r="E46" s="21" t="s">
        <v>40</v>
      </c>
      <c r="F46" s="31">
        <v>4</v>
      </c>
      <c r="G46" s="22">
        <v>35.71</v>
      </c>
      <c r="H46" s="31"/>
      <c r="I46" s="15">
        <v>278.8</v>
      </c>
      <c r="J46" s="11">
        <v>428.57</v>
      </c>
      <c r="K46" s="37">
        <f t="shared" si="5"/>
        <v>1714.28</v>
      </c>
      <c r="L46" s="37">
        <f t="shared" si="6"/>
        <v>285.71333333333331</v>
      </c>
      <c r="M46" s="12"/>
      <c r="N46" s="12"/>
      <c r="O46" s="12"/>
      <c r="P46" s="37"/>
      <c r="Q46" s="37"/>
      <c r="R46" s="37"/>
      <c r="S46" s="37"/>
      <c r="T46" s="37">
        <f t="shared" si="7"/>
        <v>0</v>
      </c>
      <c r="U46" s="37"/>
      <c r="V46" s="43">
        <f t="shared" si="8"/>
        <v>1999.9933333333333</v>
      </c>
      <c r="W46" s="61" t="s">
        <v>102</v>
      </c>
    </row>
    <row r="47" spans="2:23" x14ac:dyDescent="0.25">
      <c r="B47" s="103">
        <v>45856</v>
      </c>
      <c r="C47" s="104" t="s">
        <v>103</v>
      </c>
      <c r="D47" s="105" t="s">
        <v>22</v>
      </c>
      <c r="E47" s="106" t="s">
        <v>41</v>
      </c>
      <c r="F47" s="107">
        <v>0</v>
      </c>
      <c r="G47" s="108">
        <v>35.71</v>
      </c>
      <c r="H47" s="107"/>
      <c r="I47" s="109">
        <v>278.8</v>
      </c>
      <c r="J47" s="110">
        <v>428.57</v>
      </c>
      <c r="K47" s="111">
        <f t="shared" si="5"/>
        <v>0</v>
      </c>
      <c r="L47" s="111">
        <f t="shared" si="6"/>
        <v>0</v>
      </c>
      <c r="M47" s="112"/>
      <c r="N47" s="112"/>
      <c r="O47" s="112"/>
      <c r="P47" s="111"/>
      <c r="Q47" s="111"/>
      <c r="R47" s="111"/>
      <c r="S47" s="111"/>
      <c r="T47" s="111">
        <f t="shared" si="7"/>
        <v>0</v>
      </c>
      <c r="U47" s="111"/>
      <c r="V47" s="113">
        <f t="shared" si="8"/>
        <v>0</v>
      </c>
      <c r="W47" s="90" t="s">
        <v>186</v>
      </c>
    </row>
    <row r="48" spans="2:23" x14ac:dyDescent="0.25">
      <c r="B48" s="29">
        <v>45870</v>
      </c>
      <c r="C48" s="46" t="s">
        <v>104</v>
      </c>
      <c r="D48" s="20" t="s">
        <v>22</v>
      </c>
      <c r="E48" s="21" t="s">
        <v>40</v>
      </c>
      <c r="F48" s="31">
        <v>5</v>
      </c>
      <c r="G48" s="22">
        <v>35.71</v>
      </c>
      <c r="H48" s="31"/>
      <c r="I48" s="15">
        <v>278.8</v>
      </c>
      <c r="J48" s="11">
        <v>428.57</v>
      </c>
      <c r="K48" s="37">
        <f t="shared" si="5"/>
        <v>2142.85</v>
      </c>
      <c r="L48" s="37">
        <f t="shared" si="6"/>
        <v>357.14166666666665</v>
      </c>
      <c r="M48" s="12">
        <f>J48*0.25</f>
        <v>107.1425</v>
      </c>
      <c r="N48" s="12">
        <f>G48*10</f>
        <v>357.1</v>
      </c>
      <c r="O48" s="12"/>
      <c r="P48" s="37"/>
      <c r="Q48" s="37"/>
      <c r="R48" s="37"/>
      <c r="S48" s="37"/>
      <c r="T48" s="37">
        <f t="shared" si="7"/>
        <v>0</v>
      </c>
      <c r="U48" s="37"/>
      <c r="V48" s="43">
        <f t="shared" si="8"/>
        <v>2964.2341666666666</v>
      </c>
      <c r="W48" s="61" t="s">
        <v>105</v>
      </c>
    </row>
    <row r="49" spans="2:23" x14ac:dyDescent="0.25">
      <c r="B49" s="29">
        <v>45875</v>
      </c>
      <c r="C49" s="46" t="s">
        <v>106</v>
      </c>
      <c r="D49" s="20" t="s">
        <v>22</v>
      </c>
      <c r="E49" s="21" t="s">
        <v>41</v>
      </c>
      <c r="F49" s="31">
        <v>6</v>
      </c>
      <c r="G49" s="22">
        <v>35.71</v>
      </c>
      <c r="H49" s="31"/>
      <c r="I49" s="15">
        <v>278.8</v>
      </c>
      <c r="J49" s="11">
        <v>428.57</v>
      </c>
      <c r="K49" s="37">
        <f t="shared" si="5"/>
        <v>2571.42</v>
      </c>
      <c r="L49" s="37">
        <f t="shared" si="6"/>
        <v>428.57</v>
      </c>
      <c r="M49" s="51">
        <f>J49*0.25</f>
        <v>107.1425</v>
      </c>
      <c r="N49" s="51"/>
      <c r="O49" s="12"/>
      <c r="P49" s="60"/>
      <c r="Q49" s="37"/>
      <c r="R49" s="37"/>
      <c r="S49" s="37"/>
      <c r="T49" s="37">
        <f t="shared" si="7"/>
        <v>0</v>
      </c>
      <c r="U49" s="37"/>
      <c r="V49" s="43">
        <f t="shared" si="8"/>
        <v>3107.1325000000002</v>
      </c>
      <c r="W49" s="61" t="s">
        <v>231</v>
      </c>
    </row>
    <row r="50" spans="2:23" x14ac:dyDescent="0.25">
      <c r="B50" s="29">
        <v>45883</v>
      </c>
      <c r="C50" s="46" t="s">
        <v>107</v>
      </c>
      <c r="D50" s="20" t="s">
        <v>22</v>
      </c>
      <c r="E50" s="21" t="s">
        <v>40</v>
      </c>
      <c r="F50" s="31">
        <v>6</v>
      </c>
      <c r="G50" s="22">
        <v>35.71</v>
      </c>
      <c r="H50" s="31"/>
      <c r="I50" s="15">
        <v>278.8</v>
      </c>
      <c r="J50" s="11">
        <v>428.57</v>
      </c>
      <c r="K50" s="37">
        <f t="shared" si="5"/>
        <v>2571.42</v>
      </c>
      <c r="L50" s="37">
        <f t="shared" si="6"/>
        <v>428.57</v>
      </c>
      <c r="M50" s="12">
        <f>J50*0.25</f>
        <v>107.1425</v>
      </c>
      <c r="N50" s="12"/>
      <c r="O50" s="12">
        <v>428.5</v>
      </c>
      <c r="P50" s="37"/>
      <c r="Q50" s="37"/>
      <c r="R50" s="37"/>
      <c r="S50" s="37"/>
      <c r="T50" s="37">
        <f t="shared" si="7"/>
        <v>0</v>
      </c>
      <c r="U50" s="37"/>
      <c r="V50" s="43">
        <f t="shared" si="8"/>
        <v>3535.6325000000002</v>
      </c>
      <c r="W50" s="61" t="s">
        <v>160</v>
      </c>
    </row>
    <row r="51" spans="2:23" x14ac:dyDescent="0.25">
      <c r="B51" s="33">
        <v>45887</v>
      </c>
      <c r="C51" s="46" t="s">
        <v>108</v>
      </c>
      <c r="D51" s="20" t="s">
        <v>6</v>
      </c>
      <c r="E51" s="50" t="s">
        <v>40</v>
      </c>
      <c r="F51" s="31">
        <v>5</v>
      </c>
      <c r="G51" s="35">
        <v>48.8</v>
      </c>
      <c r="H51" s="31"/>
      <c r="I51" s="15">
        <v>278.8</v>
      </c>
      <c r="J51" s="36">
        <v>585.71</v>
      </c>
      <c r="K51" s="37">
        <f t="shared" si="5"/>
        <v>2928.55</v>
      </c>
      <c r="L51" s="37">
        <f t="shared" si="6"/>
        <v>488.09166666666664</v>
      </c>
      <c r="M51" s="12"/>
      <c r="N51" s="37"/>
      <c r="O51" s="37">
        <v>585.70000000000005</v>
      </c>
      <c r="P51" s="37"/>
      <c r="Q51" s="37"/>
      <c r="R51" s="37"/>
      <c r="S51" s="28"/>
      <c r="T51" s="37">
        <f t="shared" si="7"/>
        <v>0</v>
      </c>
      <c r="U51" s="37"/>
      <c r="V51" s="83">
        <f t="shared" si="8"/>
        <v>4002.3416666666672</v>
      </c>
      <c r="W51" s="61" t="s">
        <v>139</v>
      </c>
    </row>
    <row r="52" spans="2:23" x14ac:dyDescent="0.25">
      <c r="B52" s="29">
        <v>45897</v>
      </c>
      <c r="C52" s="46" t="s">
        <v>109</v>
      </c>
      <c r="D52" s="20" t="s">
        <v>22</v>
      </c>
      <c r="E52" s="21" t="s">
        <v>40</v>
      </c>
      <c r="F52" s="31">
        <v>5</v>
      </c>
      <c r="G52" s="22">
        <v>35.71</v>
      </c>
      <c r="H52" s="31"/>
      <c r="I52" s="15">
        <v>278.8</v>
      </c>
      <c r="J52" s="11">
        <v>428.57</v>
      </c>
      <c r="K52" s="37">
        <f t="shared" si="5"/>
        <v>2142.85</v>
      </c>
      <c r="L52" s="37">
        <f t="shared" si="6"/>
        <v>357.14166666666665</v>
      </c>
      <c r="M52" s="12">
        <f>J52*0.25</f>
        <v>107.1425</v>
      </c>
      <c r="N52" s="12"/>
      <c r="O52" s="12"/>
      <c r="P52" s="37"/>
      <c r="Q52" s="37"/>
      <c r="R52" s="37"/>
      <c r="S52" s="37"/>
      <c r="T52" s="37">
        <f t="shared" si="7"/>
        <v>0</v>
      </c>
      <c r="U52" s="37"/>
      <c r="V52" s="43">
        <f t="shared" si="8"/>
        <v>2607.1341666666667</v>
      </c>
      <c r="W52" s="61" t="s">
        <v>111</v>
      </c>
    </row>
    <row r="53" spans="2:23" s="55" customFormat="1" x14ac:dyDescent="0.25">
      <c r="B53" s="33">
        <v>45546</v>
      </c>
      <c r="C53" s="46" t="s">
        <v>56</v>
      </c>
      <c r="D53" s="49" t="s">
        <v>22</v>
      </c>
      <c r="E53" s="50" t="s">
        <v>41</v>
      </c>
      <c r="F53" s="56">
        <v>4</v>
      </c>
      <c r="G53" s="57">
        <v>35.71</v>
      </c>
      <c r="H53" s="56"/>
      <c r="I53" s="58">
        <v>278.8</v>
      </c>
      <c r="J53" s="59">
        <v>428.57</v>
      </c>
      <c r="K53" s="60">
        <f t="shared" si="5"/>
        <v>1714.28</v>
      </c>
      <c r="L53" s="60">
        <f t="shared" si="6"/>
        <v>285.71333333333331</v>
      </c>
      <c r="M53" s="51">
        <f>J53*0.25</f>
        <v>107.1425</v>
      </c>
      <c r="N53" s="51">
        <f>G53*11</f>
        <v>392.81</v>
      </c>
      <c r="O53" s="51"/>
      <c r="P53" s="60"/>
      <c r="Q53" s="60"/>
      <c r="R53" s="51"/>
      <c r="S53" s="60"/>
      <c r="T53" s="60">
        <f t="shared" si="7"/>
        <v>0</v>
      </c>
      <c r="U53" s="60"/>
      <c r="V53" s="83">
        <f t="shared" si="8"/>
        <v>2499.9458333333332</v>
      </c>
      <c r="W53" s="61" t="s">
        <v>120</v>
      </c>
    </row>
    <row r="54" spans="2:23" x14ac:dyDescent="0.25">
      <c r="B54" s="29">
        <v>45910</v>
      </c>
      <c r="C54" s="46" t="s">
        <v>110</v>
      </c>
      <c r="D54" s="20" t="s">
        <v>22</v>
      </c>
      <c r="E54" s="21" t="s">
        <v>40</v>
      </c>
      <c r="F54" s="31">
        <v>6</v>
      </c>
      <c r="G54" s="22">
        <v>35.71</v>
      </c>
      <c r="H54" s="31"/>
      <c r="I54" s="15">
        <v>278.8</v>
      </c>
      <c r="J54" s="11">
        <v>428.57</v>
      </c>
      <c r="K54" s="37">
        <f t="shared" si="5"/>
        <v>2571.42</v>
      </c>
      <c r="L54" s="37">
        <f t="shared" si="6"/>
        <v>428.57</v>
      </c>
      <c r="M54" s="12"/>
      <c r="N54" s="12"/>
      <c r="O54" s="12"/>
      <c r="P54" s="37"/>
      <c r="Q54" s="37"/>
      <c r="R54" s="37"/>
      <c r="S54" s="37"/>
      <c r="T54" s="37">
        <f t="shared" si="7"/>
        <v>0</v>
      </c>
      <c r="U54" s="37"/>
      <c r="V54" s="43">
        <f t="shared" si="8"/>
        <v>2999.9900000000002</v>
      </c>
      <c r="W54" s="61" t="s">
        <v>253</v>
      </c>
    </row>
    <row r="55" spans="2:23" s="55" customFormat="1" x14ac:dyDescent="0.25">
      <c r="B55" s="33">
        <v>45923</v>
      </c>
      <c r="C55" s="46" t="s">
        <v>112</v>
      </c>
      <c r="D55" s="49" t="s">
        <v>22</v>
      </c>
      <c r="E55" s="50" t="s">
        <v>41</v>
      </c>
      <c r="F55" s="56">
        <v>6</v>
      </c>
      <c r="G55" s="57">
        <v>35.71</v>
      </c>
      <c r="H55" s="56"/>
      <c r="I55" s="58">
        <v>278.8</v>
      </c>
      <c r="J55" s="59">
        <v>428.57</v>
      </c>
      <c r="K55" s="60">
        <f t="shared" si="5"/>
        <v>2571.42</v>
      </c>
      <c r="L55" s="60">
        <f t="shared" si="6"/>
        <v>428.57</v>
      </c>
      <c r="M55" s="51">
        <f>J55*0.25</f>
        <v>107.1425</v>
      </c>
      <c r="N55" s="51"/>
      <c r="O55" s="51"/>
      <c r="P55" s="60"/>
      <c r="Q55" s="60"/>
      <c r="R55" s="51"/>
      <c r="S55" s="60"/>
      <c r="T55" s="60">
        <f t="shared" si="7"/>
        <v>0</v>
      </c>
      <c r="U55" s="60"/>
      <c r="V55" s="83">
        <f t="shared" si="8"/>
        <v>3107.1325000000002</v>
      </c>
      <c r="W55" s="61" t="s">
        <v>113</v>
      </c>
    </row>
    <row r="56" spans="2:23" x14ac:dyDescent="0.25">
      <c r="B56" s="29">
        <v>45924</v>
      </c>
      <c r="C56" s="46" t="s">
        <v>114</v>
      </c>
      <c r="D56" s="20" t="s">
        <v>22</v>
      </c>
      <c r="E56" s="21" t="s">
        <v>40</v>
      </c>
      <c r="F56" s="31">
        <v>6</v>
      </c>
      <c r="G56" s="22">
        <v>35.71</v>
      </c>
      <c r="H56" s="31"/>
      <c r="I56" s="15">
        <v>278.8</v>
      </c>
      <c r="J56" s="11">
        <v>428.57</v>
      </c>
      <c r="K56" s="37">
        <f t="shared" si="5"/>
        <v>2571.42</v>
      </c>
      <c r="L56" s="37">
        <f t="shared" si="6"/>
        <v>428.57</v>
      </c>
      <c r="M56" s="12">
        <f>J56*0.25</f>
        <v>107.1425</v>
      </c>
      <c r="N56" s="12"/>
      <c r="O56" s="12"/>
      <c r="P56" s="37">
        <f>G56*1</f>
        <v>35.71</v>
      </c>
      <c r="Q56" s="37"/>
      <c r="R56" s="37"/>
      <c r="S56" s="37"/>
      <c r="T56" s="37">
        <f t="shared" si="7"/>
        <v>0</v>
      </c>
      <c r="U56" s="37"/>
      <c r="V56" s="43">
        <f t="shared" si="8"/>
        <v>3142.8425000000002</v>
      </c>
      <c r="W56" s="61" t="s">
        <v>115</v>
      </c>
    </row>
    <row r="57" spans="2:23" x14ac:dyDescent="0.25">
      <c r="B57" s="33">
        <v>45928</v>
      </c>
      <c r="C57" s="46" t="s">
        <v>116</v>
      </c>
      <c r="D57" s="49" t="s">
        <v>22</v>
      </c>
      <c r="E57" s="50" t="s">
        <v>41</v>
      </c>
      <c r="F57" s="56">
        <v>5</v>
      </c>
      <c r="G57" s="57">
        <v>35.71</v>
      </c>
      <c r="H57" s="56"/>
      <c r="I57" s="58">
        <v>278.8</v>
      </c>
      <c r="J57" s="59">
        <v>428.57</v>
      </c>
      <c r="K57" s="60">
        <f t="shared" si="5"/>
        <v>2142.85</v>
      </c>
      <c r="L57" s="60">
        <f t="shared" si="6"/>
        <v>357.14166666666665</v>
      </c>
      <c r="M57" s="51">
        <f>J57*0.25</f>
        <v>107.1425</v>
      </c>
      <c r="N57" s="51"/>
      <c r="O57" s="51"/>
      <c r="P57" s="60"/>
      <c r="Q57" s="60"/>
      <c r="R57" s="60"/>
      <c r="S57" s="60"/>
      <c r="T57" s="60">
        <f t="shared" si="7"/>
        <v>0</v>
      </c>
      <c r="U57" s="60"/>
      <c r="V57" s="83">
        <f t="shared" si="8"/>
        <v>2607.1341666666667</v>
      </c>
      <c r="W57" s="61" t="s">
        <v>188</v>
      </c>
    </row>
    <row r="58" spans="2:23" x14ac:dyDescent="0.25">
      <c r="B58" s="29">
        <v>45931</v>
      </c>
      <c r="C58" s="46" t="s">
        <v>117</v>
      </c>
      <c r="D58" s="20" t="s">
        <v>22</v>
      </c>
      <c r="E58" s="21" t="s">
        <v>40</v>
      </c>
      <c r="F58" s="31">
        <v>6</v>
      </c>
      <c r="G58" s="22">
        <v>35.71</v>
      </c>
      <c r="H58" s="31"/>
      <c r="I58" s="15">
        <v>278.8</v>
      </c>
      <c r="J58" s="11">
        <v>428.57</v>
      </c>
      <c r="K58" s="37">
        <f t="shared" si="5"/>
        <v>2571.42</v>
      </c>
      <c r="L58" s="37">
        <f t="shared" si="6"/>
        <v>428.57</v>
      </c>
      <c r="M58" s="12">
        <f>J58*0.25</f>
        <v>107.1425</v>
      </c>
      <c r="N58" s="12"/>
      <c r="O58" s="12"/>
      <c r="P58" s="37"/>
      <c r="Q58" s="37"/>
      <c r="R58" s="37"/>
      <c r="S58" s="37"/>
      <c r="T58" s="37">
        <f t="shared" si="7"/>
        <v>0</v>
      </c>
      <c r="U58" s="37"/>
      <c r="V58" s="43">
        <f t="shared" si="8"/>
        <v>3107.1325000000002</v>
      </c>
      <c r="W58" s="61" t="s">
        <v>118</v>
      </c>
    </row>
    <row r="59" spans="2:23" x14ac:dyDescent="0.25">
      <c r="B59" s="29">
        <v>45946</v>
      </c>
      <c r="C59" s="46" t="s">
        <v>121</v>
      </c>
      <c r="D59" s="20" t="s">
        <v>22</v>
      </c>
      <c r="E59" s="21" t="s">
        <v>41</v>
      </c>
      <c r="F59" s="31">
        <v>5</v>
      </c>
      <c r="G59" s="22">
        <v>35.71</v>
      </c>
      <c r="H59" s="31"/>
      <c r="I59" s="15">
        <v>278.8</v>
      </c>
      <c r="J59" s="11">
        <v>428.57</v>
      </c>
      <c r="K59" s="37">
        <f t="shared" ref="K59:K75" si="9">+J59*F59</f>
        <v>2142.85</v>
      </c>
      <c r="L59" s="37">
        <f t="shared" ref="L59:L75" si="10">(1/6)*F59*J59</f>
        <v>357.14166666666665</v>
      </c>
      <c r="M59" s="51"/>
      <c r="N59" s="12"/>
      <c r="O59" s="12"/>
      <c r="P59" s="37"/>
      <c r="Q59" s="37"/>
      <c r="R59" s="37"/>
      <c r="S59" s="37"/>
      <c r="T59" s="37">
        <f t="shared" si="7"/>
        <v>0</v>
      </c>
      <c r="U59" s="37"/>
      <c r="V59" s="43">
        <f t="shared" si="8"/>
        <v>2499.9916666666668</v>
      </c>
      <c r="W59" s="61" t="s">
        <v>135</v>
      </c>
    </row>
    <row r="60" spans="2:23" x14ac:dyDescent="0.25">
      <c r="B60" s="33">
        <v>45954</v>
      </c>
      <c r="C60" s="46" t="s">
        <v>122</v>
      </c>
      <c r="D60" s="49" t="s">
        <v>22</v>
      </c>
      <c r="E60" s="50" t="s">
        <v>41</v>
      </c>
      <c r="F60" s="56">
        <v>6</v>
      </c>
      <c r="G60" s="57">
        <v>35.71</v>
      </c>
      <c r="H60" s="56"/>
      <c r="I60" s="58">
        <v>278.8</v>
      </c>
      <c r="J60" s="59">
        <v>428.57</v>
      </c>
      <c r="K60" s="60">
        <f t="shared" si="9"/>
        <v>2571.42</v>
      </c>
      <c r="L60" s="60">
        <f t="shared" si="10"/>
        <v>428.57</v>
      </c>
      <c r="M60" s="51"/>
      <c r="N60" s="51"/>
      <c r="O60" s="51">
        <v>428.5</v>
      </c>
      <c r="P60" s="60"/>
      <c r="Q60" s="60"/>
      <c r="R60" s="60"/>
      <c r="S60" s="60"/>
      <c r="T60" s="60">
        <f t="shared" si="7"/>
        <v>0</v>
      </c>
      <c r="U60" s="60"/>
      <c r="V60" s="83">
        <f t="shared" si="8"/>
        <v>3428.4900000000002</v>
      </c>
      <c r="W60" s="61" t="s">
        <v>203</v>
      </c>
    </row>
    <row r="61" spans="2:23" x14ac:dyDescent="0.25">
      <c r="B61" s="29">
        <v>45955</v>
      </c>
      <c r="C61" s="46" t="s">
        <v>123</v>
      </c>
      <c r="D61" s="20" t="s">
        <v>22</v>
      </c>
      <c r="E61" s="21" t="s">
        <v>40</v>
      </c>
      <c r="F61" s="31">
        <v>5</v>
      </c>
      <c r="G61" s="22">
        <v>35.71</v>
      </c>
      <c r="H61" s="31"/>
      <c r="I61" s="15">
        <v>278.8</v>
      </c>
      <c r="J61" s="11">
        <v>428.57</v>
      </c>
      <c r="K61" s="37">
        <f t="shared" si="9"/>
        <v>2142.85</v>
      </c>
      <c r="L61" s="37">
        <f t="shared" si="10"/>
        <v>357.14166666666665</v>
      </c>
      <c r="M61" s="12"/>
      <c r="N61" s="12"/>
      <c r="O61" s="12"/>
      <c r="P61" s="37"/>
      <c r="Q61" s="37"/>
      <c r="R61" s="37"/>
      <c r="S61" s="37"/>
      <c r="T61" s="37">
        <f t="shared" si="7"/>
        <v>0</v>
      </c>
      <c r="U61" s="37"/>
      <c r="V61" s="43">
        <f t="shared" si="8"/>
        <v>2499.9916666666668</v>
      </c>
      <c r="W61" s="61" t="s">
        <v>124</v>
      </c>
    </row>
    <row r="62" spans="2:23" x14ac:dyDescent="0.25">
      <c r="B62" s="29">
        <v>45961</v>
      </c>
      <c r="C62" s="46" t="s">
        <v>125</v>
      </c>
      <c r="D62" s="20" t="s">
        <v>22</v>
      </c>
      <c r="E62" s="21" t="s">
        <v>41</v>
      </c>
      <c r="F62" s="31">
        <v>6</v>
      </c>
      <c r="G62" s="22">
        <v>35.71</v>
      </c>
      <c r="H62" s="31"/>
      <c r="I62" s="15">
        <v>278.8</v>
      </c>
      <c r="J62" s="11">
        <v>428.57</v>
      </c>
      <c r="K62" s="37">
        <f t="shared" si="9"/>
        <v>2571.42</v>
      </c>
      <c r="L62" s="37">
        <f t="shared" si="10"/>
        <v>428.57</v>
      </c>
      <c r="M62" s="51">
        <f>J62*0.25</f>
        <v>107.1425</v>
      </c>
      <c r="N62" s="12"/>
      <c r="O62" s="51">
        <v>428.5</v>
      </c>
      <c r="P62" s="37"/>
      <c r="Q62" s="37"/>
      <c r="R62" s="37"/>
      <c r="S62" s="37"/>
      <c r="T62" s="37">
        <f t="shared" si="7"/>
        <v>0</v>
      </c>
      <c r="U62" s="37"/>
      <c r="V62" s="43">
        <f t="shared" si="8"/>
        <v>3535.6325000000002</v>
      </c>
      <c r="W62" s="61" t="s">
        <v>126</v>
      </c>
    </row>
    <row r="63" spans="2:23" x14ac:dyDescent="0.25">
      <c r="B63" s="73">
        <v>45970</v>
      </c>
      <c r="C63" s="74" t="s">
        <v>127</v>
      </c>
      <c r="D63" s="75" t="s">
        <v>22</v>
      </c>
      <c r="E63" s="76" t="s">
        <v>41</v>
      </c>
      <c r="F63" s="31">
        <v>6</v>
      </c>
      <c r="G63" s="78">
        <v>35.71</v>
      </c>
      <c r="H63" s="77"/>
      <c r="I63" s="79">
        <v>278.8</v>
      </c>
      <c r="J63" s="80">
        <v>428.57</v>
      </c>
      <c r="K63" s="81">
        <f t="shared" si="9"/>
        <v>2571.42</v>
      </c>
      <c r="L63" s="81">
        <f t="shared" si="10"/>
        <v>428.57</v>
      </c>
      <c r="M63" s="51">
        <f>J63*0.25</f>
        <v>107.1425</v>
      </c>
      <c r="N63" s="12"/>
      <c r="O63" s="12"/>
      <c r="P63" s="37"/>
      <c r="Q63" s="37"/>
      <c r="R63" s="37"/>
      <c r="S63" s="37"/>
      <c r="T63" s="81">
        <f t="shared" si="7"/>
        <v>0</v>
      </c>
      <c r="U63" s="81"/>
      <c r="V63" s="114">
        <f t="shared" si="8"/>
        <v>3107.1325000000002</v>
      </c>
      <c r="W63" s="61" t="s">
        <v>187</v>
      </c>
    </row>
    <row r="64" spans="2:23" x14ac:dyDescent="0.25">
      <c r="B64" s="29">
        <v>45986</v>
      </c>
      <c r="C64" s="46" t="s">
        <v>128</v>
      </c>
      <c r="D64" s="20" t="s">
        <v>22</v>
      </c>
      <c r="E64" s="21" t="s">
        <v>40</v>
      </c>
      <c r="F64" s="31">
        <v>6</v>
      </c>
      <c r="G64" s="22">
        <v>35.71</v>
      </c>
      <c r="H64" s="31"/>
      <c r="I64" s="15">
        <v>278.8</v>
      </c>
      <c r="J64" s="11">
        <v>428.57</v>
      </c>
      <c r="K64" s="37">
        <f t="shared" si="9"/>
        <v>2571.42</v>
      </c>
      <c r="L64" s="37">
        <f t="shared" si="10"/>
        <v>428.57</v>
      </c>
      <c r="M64" s="12">
        <f>J64*0.25</f>
        <v>107.1425</v>
      </c>
      <c r="N64" s="12"/>
      <c r="O64" s="12"/>
      <c r="P64" s="37"/>
      <c r="Q64" s="37"/>
      <c r="R64" s="37"/>
      <c r="S64" s="37"/>
      <c r="T64" s="37">
        <f t="shared" si="7"/>
        <v>0</v>
      </c>
      <c r="U64" s="37"/>
      <c r="V64" s="43">
        <f t="shared" si="8"/>
        <v>3107.1325000000002</v>
      </c>
      <c r="W64" s="61" t="s">
        <v>129</v>
      </c>
    </row>
    <row r="65" spans="2:23" x14ac:dyDescent="0.25">
      <c r="B65" s="29">
        <v>46027</v>
      </c>
      <c r="C65" s="46" t="s">
        <v>131</v>
      </c>
      <c r="D65" s="20" t="s">
        <v>22</v>
      </c>
      <c r="E65" s="21" t="s">
        <v>41</v>
      </c>
      <c r="F65" s="31">
        <v>5</v>
      </c>
      <c r="G65" s="22">
        <v>35.71</v>
      </c>
      <c r="H65" s="31"/>
      <c r="I65" s="15">
        <v>278.8</v>
      </c>
      <c r="J65" s="11">
        <v>428.57</v>
      </c>
      <c r="K65" s="37">
        <f t="shared" si="9"/>
        <v>2142.85</v>
      </c>
      <c r="L65" s="37">
        <f t="shared" si="10"/>
        <v>357.14166666666665</v>
      </c>
      <c r="M65" s="51">
        <f>J65*0.25</f>
        <v>107.1425</v>
      </c>
      <c r="N65" s="12">
        <f>G65*5</f>
        <v>178.55</v>
      </c>
      <c r="O65" s="12">
        <v>249.5</v>
      </c>
      <c r="P65" s="37"/>
      <c r="Q65" s="37"/>
      <c r="R65" s="37"/>
      <c r="S65" s="37"/>
      <c r="T65" s="37">
        <f t="shared" si="7"/>
        <v>0</v>
      </c>
      <c r="U65" s="37"/>
      <c r="V65" s="43">
        <f t="shared" si="8"/>
        <v>3035.1841666666669</v>
      </c>
      <c r="W65" s="61" t="s">
        <v>132</v>
      </c>
    </row>
    <row r="66" spans="2:23" x14ac:dyDescent="0.25">
      <c r="B66" s="29">
        <v>46031</v>
      </c>
      <c r="C66" s="46" t="s">
        <v>133</v>
      </c>
      <c r="D66" s="20" t="s">
        <v>22</v>
      </c>
      <c r="E66" s="21" t="s">
        <v>40</v>
      </c>
      <c r="F66" s="31">
        <v>6</v>
      </c>
      <c r="G66" s="22">
        <v>35.71</v>
      </c>
      <c r="H66" s="31"/>
      <c r="I66" s="15">
        <v>278.8</v>
      </c>
      <c r="J66" s="11">
        <v>428.57</v>
      </c>
      <c r="K66" s="37">
        <f t="shared" si="9"/>
        <v>2571.42</v>
      </c>
      <c r="L66" s="37">
        <f t="shared" si="10"/>
        <v>428.57</v>
      </c>
      <c r="M66" s="12">
        <f>J66*0.25</f>
        <v>107.1425</v>
      </c>
      <c r="N66" s="12"/>
      <c r="O66" s="12">
        <v>428.5</v>
      </c>
      <c r="P66" s="37">
        <f>G66*1</f>
        <v>35.71</v>
      </c>
      <c r="Q66" s="37"/>
      <c r="R66" s="37"/>
      <c r="S66" s="37"/>
      <c r="T66" s="37">
        <f t="shared" si="7"/>
        <v>0</v>
      </c>
      <c r="U66" s="37"/>
      <c r="V66" s="43">
        <f t="shared" si="8"/>
        <v>3571.3425000000002</v>
      </c>
      <c r="W66" s="61" t="s">
        <v>134</v>
      </c>
    </row>
    <row r="67" spans="2:23" x14ac:dyDescent="0.25">
      <c r="B67" s="29">
        <v>46041</v>
      </c>
      <c r="C67" s="46" t="s">
        <v>156</v>
      </c>
      <c r="D67" s="20" t="s">
        <v>22</v>
      </c>
      <c r="E67" s="21" t="s">
        <v>41</v>
      </c>
      <c r="F67" s="31">
        <v>6</v>
      </c>
      <c r="G67" s="22">
        <v>35.71</v>
      </c>
      <c r="H67" s="31"/>
      <c r="I67" s="15">
        <v>278.8</v>
      </c>
      <c r="J67" s="11">
        <v>428.57</v>
      </c>
      <c r="K67" s="37">
        <f t="shared" si="9"/>
        <v>2571.42</v>
      </c>
      <c r="L67" s="37">
        <f t="shared" si="10"/>
        <v>428.57</v>
      </c>
      <c r="M67" s="51"/>
      <c r="N67" s="12"/>
      <c r="O67" s="12"/>
      <c r="P67" s="37"/>
      <c r="Q67" s="37"/>
      <c r="R67" s="37"/>
      <c r="S67" s="37"/>
      <c r="T67" s="37">
        <f t="shared" si="7"/>
        <v>0</v>
      </c>
      <c r="U67" s="37"/>
      <c r="V67" s="43">
        <f t="shared" si="8"/>
        <v>2999.9900000000002</v>
      </c>
      <c r="W67" s="61" t="s">
        <v>157</v>
      </c>
    </row>
    <row r="68" spans="2:23" x14ac:dyDescent="0.25">
      <c r="B68" s="29">
        <v>46052</v>
      </c>
      <c r="C68" s="46" t="s">
        <v>136</v>
      </c>
      <c r="D68" s="20" t="s">
        <v>22</v>
      </c>
      <c r="E68" s="21" t="s">
        <v>40</v>
      </c>
      <c r="F68" s="31">
        <v>6</v>
      </c>
      <c r="G68" s="22">
        <v>35.71</v>
      </c>
      <c r="H68" s="31"/>
      <c r="I68" s="15">
        <v>278.8</v>
      </c>
      <c r="J68" s="11">
        <v>428.57</v>
      </c>
      <c r="K68" s="37">
        <f t="shared" si="9"/>
        <v>2571.42</v>
      </c>
      <c r="L68" s="37">
        <f t="shared" si="10"/>
        <v>428.57</v>
      </c>
      <c r="M68" s="12"/>
      <c r="N68" s="12"/>
      <c r="O68" s="12">
        <v>428.5</v>
      </c>
      <c r="P68" s="37"/>
      <c r="Q68" s="37"/>
      <c r="R68" s="37"/>
      <c r="S68" s="37"/>
      <c r="T68" s="37">
        <f t="shared" si="7"/>
        <v>0</v>
      </c>
      <c r="U68" s="37"/>
      <c r="V68" s="43">
        <f t="shared" si="8"/>
        <v>3428.4900000000002</v>
      </c>
      <c r="W68" s="61" t="s">
        <v>137</v>
      </c>
    </row>
    <row r="69" spans="2:23" x14ac:dyDescent="0.25">
      <c r="B69" s="29">
        <v>46069</v>
      </c>
      <c r="C69" s="46" t="s">
        <v>141</v>
      </c>
      <c r="D69" s="20" t="s">
        <v>22</v>
      </c>
      <c r="E69" s="21" t="s">
        <v>41</v>
      </c>
      <c r="F69" s="31">
        <v>5</v>
      </c>
      <c r="G69" s="22">
        <v>35.71</v>
      </c>
      <c r="H69" s="31"/>
      <c r="I69" s="15">
        <v>278.8</v>
      </c>
      <c r="J69" s="11">
        <v>428.57</v>
      </c>
      <c r="K69" s="37">
        <f t="shared" si="9"/>
        <v>2142.85</v>
      </c>
      <c r="L69" s="37">
        <f t="shared" si="10"/>
        <v>357.14166666666665</v>
      </c>
      <c r="M69" s="51"/>
      <c r="N69" s="12"/>
      <c r="O69" s="12"/>
      <c r="P69" s="37"/>
      <c r="Q69" s="37"/>
      <c r="R69" s="37"/>
      <c r="S69" s="37"/>
      <c r="T69" s="37">
        <f t="shared" si="7"/>
        <v>0</v>
      </c>
      <c r="U69" s="37"/>
      <c r="V69" s="43">
        <f t="shared" si="8"/>
        <v>2499.9916666666668</v>
      </c>
      <c r="W69" s="61" t="s">
        <v>142</v>
      </c>
    </row>
    <row r="70" spans="2:23" x14ac:dyDescent="0.25">
      <c r="B70" s="29">
        <v>46075</v>
      </c>
      <c r="C70" s="46" t="s">
        <v>143</v>
      </c>
      <c r="D70" s="20" t="s">
        <v>22</v>
      </c>
      <c r="E70" s="21" t="s">
        <v>40</v>
      </c>
      <c r="F70" s="31">
        <v>5</v>
      </c>
      <c r="G70" s="22">
        <v>35.71</v>
      </c>
      <c r="H70" s="31"/>
      <c r="I70" s="15">
        <v>278.8</v>
      </c>
      <c r="J70" s="11">
        <v>428.57</v>
      </c>
      <c r="K70" s="37">
        <f t="shared" si="9"/>
        <v>2142.85</v>
      </c>
      <c r="L70" s="37">
        <f t="shared" si="10"/>
        <v>357.14166666666665</v>
      </c>
      <c r="M70" s="12"/>
      <c r="N70" s="12"/>
      <c r="O70" s="12">
        <v>428.5</v>
      </c>
      <c r="P70" s="37"/>
      <c r="Q70" s="37"/>
      <c r="R70" s="37"/>
      <c r="S70" s="37"/>
      <c r="T70" s="37">
        <f t="shared" ref="T70:T101" si="11">J70*H70*2</f>
        <v>0</v>
      </c>
      <c r="U70" s="37"/>
      <c r="V70" s="43">
        <f t="shared" ref="V70:V101" si="12">SUM(K70:U70)</f>
        <v>2928.4916666666668</v>
      </c>
      <c r="W70" s="61" t="s">
        <v>144</v>
      </c>
    </row>
    <row r="71" spans="2:23" x14ac:dyDescent="0.25">
      <c r="B71" s="29">
        <v>46094</v>
      </c>
      <c r="C71" s="46" t="s">
        <v>145</v>
      </c>
      <c r="D71" s="20" t="s">
        <v>22</v>
      </c>
      <c r="E71" s="21" t="s">
        <v>41</v>
      </c>
      <c r="F71" s="31">
        <v>2</v>
      </c>
      <c r="G71" s="22">
        <v>35.71</v>
      </c>
      <c r="H71" s="31"/>
      <c r="I71" s="15">
        <v>278.8</v>
      </c>
      <c r="J71" s="11">
        <v>428.57</v>
      </c>
      <c r="K71" s="37">
        <f t="shared" si="9"/>
        <v>857.14</v>
      </c>
      <c r="L71" s="37">
        <f t="shared" si="10"/>
        <v>142.85666666666665</v>
      </c>
      <c r="M71" s="51"/>
      <c r="N71" s="12"/>
      <c r="O71" s="12"/>
      <c r="P71" s="37"/>
      <c r="Q71" s="37"/>
      <c r="R71" s="37"/>
      <c r="S71" s="37"/>
      <c r="T71" s="37">
        <f t="shared" si="11"/>
        <v>0</v>
      </c>
      <c r="U71" s="37"/>
      <c r="V71" s="43">
        <f t="shared" si="12"/>
        <v>999.99666666666667</v>
      </c>
      <c r="W71" s="61" t="s">
        <v>148</v>
      </c>
    </row>
    <row r="72" spans="2:23" x14ac:dyDescent="0.25">
      <c r="B72" s="29">
        <v>46106</v>
      </c>
      <c r="C72" s="46" t="s">
        <v>146</v>
      </c>
      <c r="D72" s="20" t="s">
        <v>22</v>
      </c>
      <c r="E72" s="21" t="s">
        <v>40</v>
      </c>
      <c r="F72" s="31">
        <v>6</v>
      </c>
      <c r="G72" s="22">
        <v>35.71</v>
      </c>
      <c r="H72" s="31"/>
      <c r="I72" s="15">
        <v>278.8</v>
      </c>
      <c r="J72" s="11">
        <v>428.57</v>
      </c>
      <c r="K72" s="37">
        <f t="shared" si="9"/>
        <v>2571.42</v>
      </c>
      <c r="L72" s="37">
        <f t="shared" si="10"/>
        <v>428.57</v>
      </c>
      <c r="M72" s="12">
        <f>J72*0.25</f>
        <v>107.1425</v>
      </c>
      <c r="N72" s="12"/>
      <c r="O72" s="12"/>
      <c r="P72" s="37"/>
      <c r="Q72" s="37"/>
      <c r="R72" s="37"/>
      <c r="S72" s="37"/>
      <c r="T72" s="37">
        <f t="shared" si="11"/>
        <v>0</v>
      </c>
      <c r="U72" s="37"/>
      <c r="V72" s="43">
        <f t="shared" si="12"/>
        <v>3107.1325000000002</v>
      </c>
      <c r="W72" s="61" t="s">
        <v>147</v>
      </c>
    </row>
    <row r="73" spans="2:23" x14ac:dyDescent="0.25">
      <c r="B73" s="91">
        <v>46111</v>
      </c>
      <c r="C73" s="92" t="s">
        <v>149</v>
      </c>
      <c r="D73" s="93" t="s">
        <v>22</v>
      </c>
      <c r="E73" s="94" t="s">
        <v>40</v>
      </c>
      <c r="F73" s="95">
        <v>0</v>
      </c>
      <c r="G73" s="96">
        <v>35.71</v>
      </c>
      <c r="H73" s="95"/>
      <c r="I73" s="97">
        <v>278.8</v>
      </c>
      <c r="J73" s="98">
        <v>428.57</v>
      </c>
      <c r="K73" s="99">
        <f t="shared" si="9"/>
        <v>0</v>
      </c>
      <c r="L73" s="99">
        <f t="shared" si="10"/>
        <v>0</v>
      </c>
      <c r="M73" s="100"/>
      <c r="N73" s="100"/>
      <c r="O73" s="100"/>
      <c r="P73" s="99"/>
      <c r="Q73" s="99"/>
      <c r="R73" s="99"/>
      <c r="S73" s="99"/>
      <c r="T73" s="99">
        <f t="shared" si="11"/>
        <v>0</v>
      </c>
      <c r="U73" s="99"/>
      <c r="V73" s="101">
        <f t="shared" si="12"/>
        <v>0</v>
      </c>
      <c r="W73" s="102" t="s">
        <v>255</v>
      </c>
    </row>
    <row r="74" spans="2:23" x14ac:dyDescent="0.25">
      <c r="B74" s="29">
        <v>46113</v>
      </c>
      <c r="C74" s="46" t="s">
        <v>150</v>
      </c>
      <c r="D74" s="20" t="s">
        <v>22</v>
      </c>
      <c r="E74" s="21" t="s">
        <v>40</v>
      </c>
      <c r="F74" s="31">
        <v>6</v>
      </c>
      <c r="G74" s="22">
        <v>35.71</v>
      </c>
      <c r="H74" s="31"/>
      <c r="I74" s="15">
        <v>278.8</v>
      </c>
      <c r="J74" s="11">
        <v>428.57</v>
      </c>
      <c r="K74" s="37">
        <f t="shared" si="9"/>
        <v>2571.42</v>
      </c>
      <c r="L74" s="37">
        <f t="shared" si="10"/>
        <v>428.57</v>
      </c>
      <c r="M74" s="12">
        <f>J74*0.25</f>
        <v>107.1425</v>
      </c>
      <c r="N74" s="12"/>
      <c r="O74" s="12">
        <v>428.5</v>
      </c>
      <c r="P74" s="37"/>
      <c r="Q74" s="37"/>
      <c r="R74" s="37"/>
      <c r="S74" s="37"/>
      <c r="T74" s="37">
        <f t="shared" si="11"/>
        <v>0</v>
      </c>
      <c r="U74" s="37"/>
      <c r="V74" s="43">
        <f t="shared" si="12"/>
        <v>3535.6325000000002</v>
      </c>
      <c r="W74" s="61" t="s">
        <v>151</v>
      </c>
    </row>
    <row r="75" spans="2:23" x14ac:dyDescent="0.25">
      <c r="B75" s="29">
        <v>46122</v>
      </c>
      <c r="C75" s="46" t="s">
        <v>152</v>
      </c>
      <c r="D75" s="20" t="s">
        <v>22</v>
      </c>
      <c r="E75" s="21" t="s">
        <v>41</v>
      </c>
      <c r="F75" s="31">
        <v>6</v>
      </c>
      <c r="G75" s="22">
        <v>35.71</v>
      </c>
      <c r="H75" s="31"/>
      <c r="I75" s="15">
        <v>278.8</v>
      </c>
      <c r="J75" s="11">
        <v>428.57</v>
      </c>
      <c r="K75" s="37">
        <f t="shared" si="9"/>
        <v>2571.42</v>
      </c>
      <c r="L75" s="37">
        <f t="shared" si="10"/>
        <v>428.57</v>
      </c>
      <c r="M75" s="51">
        <f>J75*0.25</f>
        <v>107.1425</v>
      </c>
      <c r="N75" s="12"/>
      <c r="O75" s="51">
        <v>428.5</v>
      </c>
      <c r="P75" s="37"/>
      <c r="Q75" s="37"/>
      <c r="R75" s="37"/>
      <c r="S75" s="37"/>
      <c r="T75" s="37">
        <f t="shared" si="11"/>
        <v>0</v>
      </c>
      <c r="U75" s="37"/>
      <c r="V75" s="43">
        <f t="shared" si="12"/>
        <v>3535.6325000000002</v>
      </c>
      <c r="W75" s="61" t="s">
        <v>153</v>
      </c>
    </row>
    <row r="76" spans="2:23" x14ac:dyDescent="0.25">
      <c r="B76" s="29">
        <v>46127</v>
      </c>
      <c r="C76" s="46" t="s">
        <v>154</v>
      </c>
      <c r="D76" s="20" t="s">
        <v>22</v>
      </c>
      <c r="E76" s="21" t="s">
        <v>40</v>
      </c>
      <c r="F76" s="31">
        <v>6</v>
      </c>
      <c r="G76" s="22">
        <v>35.71</v>
      </c>
      <c r="H76" s="31"/>
      <c r="I76" s="15">
        <v>278.8</v>
      </c>
      <c r="J76" s="11">
        <v>428.57</v>
      </c>
      <c r="K76" s="37">
        <f t="shared" ref="K76:K80" si="13">+J76*F76</f>
        <v>2571.42</v>
      </c>
      <c r="L76" s="37">
        <f t="shared" ref="L76:L80" si="14">(1/6)*F76*J76</f>
        <v>428.57</v>
      </c>
      <c r="M76" s="12"/>
      <c r="N76" s="12"/>
      <c r="O76" s="12"/>
      <c r="P76" s="37"/>
      <c r="Q76" s="37"/>
      <c r="R76" s="37"/>
      <c r="S76" s="37"/>
      <c r="T76" s="37">
        <f t="shared" si="11"/>
        <v>0</v>
      </c>
      <c r="U76" s="37"/>
      <c r="V76" s="43">
        <f t="shared" si="12"/>
        <v>2999.9900000000002</v>
      </c>
      <c r="W76" s="61" t="s">
        <v>155</v>
      </c>
    </row>
    <row r="77" spans="2:23" x14ac:dyDescent="0.25">
      <c r="B77" s="29">
        <v>46129</v>
      </c>
      <c r="C77" s="46" t="s">
        <v>158</v>
      </c>
      <c r="D77" s="20" t="s">
        <v>22</v>
      </c>
      <c r="E77" s="21" t="s">
        <v>41</v>
      </c>
      <c r="F77" s="31">
        <v>6</v>
      </c>
      <c r="G77" s="22">
        <v>35.71</v>
      </c>
      <c r="H77" s="31"/>
      <c r="I77" s="15">
        <v>278.8</v>
      </c>
      <c r="J77" s="11">
        <v>428.57</v>
      </c>
      <c r="K77" s="37">
        <f t="shared" si="13"/>
        <v>2571.42</v>
      </c>
      <c r="L77" s="37">
        <f t="shared" si="14"/>
        <v>428.57</v>
      </c>
      <c r="M77" s="51">
        <f>J77*0.25</f>
        <v>107.1425</v>
      </c>
      <c r="N77" s="12"/>
      <c r="O77" s="51">
        <v>428.5</v>
      </c>
      <c r="P77" s="37"/>
      <c r="Q77" s="37"/>
      <c r="R77" s="37"/>
      <c r="S77" s="37"/>
      <c r="T77" s="37">
        <f t="shared" si="11"/>
        <v>0</v>
      </c>
      <c r="U77" s="37"/>
      <c r="V77" s="43">
        <f t="shared" si="12"/>
        <v>3535.6325000000002</v>
      </c>
      <c r="W77" s="61" t="s">
        <v>159</v>
      </c>
    </row>
    <row r="78" spans="2:23" x14ac:dyDescent="0.25">
      <c r="B78" s="29">
        <v>46156</v>
      </c>
      <c r="C78" s="46" t="s">
        <v>162</v>
      </c>
      <c r="D78" s="20" t="s">
        <v>22</v>
      </c>
      <c r="E78" s="21" t="s">
        <v>41</v>
      </c>
      <c r="F78" s="31">
        <v>5</v>
      </c>
      <c r="G78" s="22">
        <v>35.71</v>
      </c>
      <c r="H78" s="31"/>
      <c r="I78" s="15">
        <v>278.8</v>
      </c>
      <c r="J78" s="11">
        <v>428.57</v>
      </c>
      <c r="K78" s="37">
        <f t="shared" si="13"/>
        <v>2142.85</v>
      </c>
      <c r="L78" s="37">
        <f t="shared" si="14"/>
        <v>357.14166666666665</v>
      </c>
      <c r="M78" s="51">
        <f>J78*0.25</f>
        <v>107.1425</v>
      </c>
      <c r="N78" s="12">
        <f>G78*5</f>
        <v>178.55</v>
      </c>
      <c r="O78" s="12"/>
      <c r="P78" s="37"/>
      <c r="Q78" s="37"/>
      <c r="R78" s="37"/>
      <c r="S78" s="37"/>
      <c r="T78" s="37">
        <f t="shared" si="11"/>
        <v>0</v>
      </c>
      <c r="U78" s="37"/>
      <c r="V78" s="43">
        <f t="shared" si="12"/>
        <v>2785.6841666666669</v>
      </c>
      <c r="W78" s="61" t="s">
        <v>163</v>
      </c>
    </row>
    <row r="79" spans="2:23" x14ac:dyDescent="0.25">
      <c r="B79" s="29">
        <v>46163</v>
      </c>
      <c r="C79" s="46" t="s">
        <v>166</v>
      </c>
      <c r="D79" s="20" t="s">
        <v>22</v>
      </c>
      <c r="E79" s="21" t="s">
        <v>40</v>
      </c>
      <c r="F79" s="31">
        <v>6</v>
      </c>
      <c r="G79" s="22">
        <v>35.71</v>
      </c>
      <c r="H79" s="31"/>
      <c r="I79" s="15">
        <v>278.8</v>
      </c>
      <c r="J79" s="11">
        <v>428.57</v>
      </c>
      <c r="K79" s="37">
        <f t="shared" si="13"/>
        <v>2571.42</v>
      </c>
      <c r="L79" s="37">
        <f t="shared" si="14"/>
        <v>428.57</v>
      </c>
      <c r="M79" s="12">
        <f>J79*0.25</f>
        <v>107.1425</v>
      </c>
      <c r="N79" s="12"/>
      <c r="O79" s="12">
        <v>428.5</v>
      </c>
      <c r="P79" s="37"/>
      <c r="Q79" s="37"/>
      <c r="R79" s="37"/>
      <c r="S79" s="37"/>
      <c r="T79" s="37">
        <f t="shared" si="11"/>
        <v>0</v>
      </c>
      <c r="U79" s="37"/>
      <c r="V79" s="43">
        <f t="shared" si="12"/>
        <v>3535.6325000000002</v>
      </c>
      <c r="W79" s="61" t="s">
        <v>167</v>
      </c>
    </row>
    <row r="80" spans="2:23" x14ac:dyDescent="0.25">
      <c r="B80" s="29">
        <v>46163</v>
      </c>
      <c r="C80" s="46" t="s">
        <v>168</v>
      </c>
      <c r="D80" s="20" t="s">
        <v>22</v>
      </c>
      <c r="E80" s="21" t="s">
        <v>41</v>
      </c>
      <c r="F80" s="31">
        <v>5</v>
      </c>
      <c r="G80" s="22">
        <v>35.71</v>
      </c>
      <c r="H80" s="31"/>
      <c r="I80" s="15">
        <v>278.8</v>
      </c>
      <c r="J80" s="11">
        <v>428.57</v>
      </c>
      <c r="K80" s="37">
        <f t="shared" si="13"/>
        <v>2142.85</v>
      </c>
      <c r="L80" s="37">
        <f t="shared" si="14"/>
        <v>357.14166666666665</v>
      </c>
      <c r="M80" s="51"/>
      <c r="N80" s="12"/>
      <c r="O80" s="51">
        <v>428.5</v>
      </c>
      <c r="P80" s="37"/>
      <c r="Q80" s="37"/>
      <c r="R80" s="37"/>
      <c r="S80" s="37"/>
      <c r="T80" s="37">
        <f t="shared" si="11"/>
        <v>0</v>
      </c>
      <c r="U80" s="37"/>
      <c r="V80" s="43">
        <f t="shared" si="12"/>
        <v>2928.4916666666668</v>
      </c>
      <c r="W80" s="61" t="s">
        <v>169</v>
      </c>
    </row>
    <row r="81" spans="2:23" x14ac:dyDescent="0.25">
      <c r="B81" s="29">
        <v>46166</v>
      </c>
      <c r="C81" s="46" t="s">
        <v>170</v>
      </c>
      <c r="D81" s="20" t="s">
        <v>22</v>
      </c>
      <c r="E81" s="21" t="s">
        <v>41</v>
      </c>
      <c r="F81" s="31">
        <v>4</v>
      </c>
      <c r="G81" s="22">
        <v>35.71</v>
      </c>
      <c r="H81" s="31"/>
      <c r="I81" s="15">
        <v>278.8</v>
      </c>
      <c r="J81" s="11">
        <v>428.57</v>
      </c>
      <c r="K81" s="37">
        <f t="shared" ref="K81" si="15">+J81*F81</f>
        <v>1714.28</v>
      </c>
      <c r="L81" s="37">
        <f t="shared" ref="L81" si="16">(1/6)*F81*J81</f>
        <v>285.71333333333331</v>
      </c>
      <c r="M81" s="51">
        <f t="shared" ref="M81:M89" si="17">J81*0.25</f>
        <v>107.1425</v>
      </c>
      <c r="N81" s="12">
        <f>G81*11</f>
        <v>392.81</v>
      </c>
      <c r="O81" s="12">
        <v>178.6</v>
      </c>
      <c r="P81" s="37"/>
      <c r="Q81" s="37"/>
      <c r="R81" s="37"/>
      <c r="S81" s="37"/>
      <c r="T81" s="37">
        <f t="shared" si="11"/>
        <v>0</v>
      </c>
      <c r="U81" s="37"/>
      <c r="V81" s="43">
        <f t="shared" si="12"/>
        <v>2678.5458333333331</v>
      </c>
      <c r="W81" s="61" t="s">
        <v>171</v>
      </c>
    </row>
    <row r="82" spans="2:23" x14ac:dyDescent="0.25">
      <c r="B82" s="29">
        <v>46167</v>
      </c>
      <c r="C82" s="46" t="s">
        <v>172</v>
      </c>
      <c r="D82" s="20" t="s">
        <v>22</v>
      </c>
      <c r="E82" s="21" t="s">
        <v>41</v>
      </c>
      <c r="F82" s="31">
        <v>6</v>
      </c>
      <c r="G82" s="22">
        <v>35.71</v>
      </c>
      <c r="H82" s="31"/>
      <c r="I82" s="15">
        <v>278.8</v>
      </c>
      <c r="J82" s="11">
        <v>428.57</v>
      </c>
      <c r="K82" s="37">
        <f t="shared" ref="K82" si="18">+J82*F82</f>
        <v>2571.42</v>
      </c>
      <c r="L82" s="37">
        <f t="shared" ref="L82" si="19">(1/6)*F82*J82</f>
        <v>428.57</v>
      </c>
      <c r="M82" s="51">
        <f t="shared" si="17"/>
        <v>107.1425</v>
      </c>
      <c r="N82" s="12"/>
      <c r="O82" s="12"/>
      <c r="P82" s="37"/>
      <c r="Q82" s="37"/>
      <c r="R82" s="37"/>
      <c r="S82" s="37"/>
      <c r="T82" s="37">
        <f t="shared" si="11"/>
        <v>0</v>
      </c>
      <c r="U82" s="37"/>
      <c r="V82" s="43">
        <f t="shared" si="12"/>
        <v>3107.1325000000002</v>
      </c>
      <c r="W82" s="61" t="s">
        <v>173</v>
      </c>
    </row>
    <row r="83" spans="2:23" x14ac:dyDescent="0.25">
      <c r="B83" s="29">
        <v>46169</v>
      </c>
      <c r="C83" s="46" t="s">
        <v>174</v>
      </c>
      <c r="D83" s="20" t="s">
        <v>22</v>
      </c>
      <c r="E83" s="21" t="s">
        <v>41</v>
      </c>
      <c r="F83" s="31">
        <v>6</v>
      </c>
      <c r="G83" s="22">
        <v>35.71</v>
      </c>
      <c r="H83" s="31"/>
      <c r="I83" s="15">
        <v>278.8</v>
      </c>
      <c r="J83" s="11">
        <v>428.57</v>
      </c>
      <c r="K83" s="37">
        <f t="shared" ref="K83" si="20">+J83*F83</f>
        <v>2571.42</v>
      </c>
      <c r="L83" s="37">
        <f t="shared" ref="L83" si="21">(1/6)*F83*J83</f>
        <v>428.57</v>
      </c>
      <c r="M83" s="51">
        <f t="shared" si="17"/>
        <v>107.1425</v>
      </c>
      <c r="N83" s="12"/>
      <c r="O83" s="12">
        <v>249.5</v>
      </c>
      <c r="P83" s="37"/>
      <c r="Q83" s="37"/>
      <c r="R83" s="37"/>
      <c r="S83" s="37"/>
      <c r="T83" s="37">
        <f t="shared" si="11"/>
        <v>0</v>
      </c>
      <c r="U83" s="37"/>
      <c r="V83" s="43">
        <f t="shared" si="12"/>
        <v>3356.6325000000002</v>
      </c>
      <c r="W83" s="61" t="s">
        <v>175</v>
      </c>
    </row>
    <row r="84" spans="2:23" x14ac:dyDescent="0.25">
      <c r="B84" s="29">
        <v>46180</v>
      </c>
      <c r="C84" s="46" t="s">
        <v>176</v>
      </c>
      <c r="D84" s="20" t="s">
        <v>22</v>
      </c>
      <c r="E84" s="21" t="s">
        <v>40</v>
      </c>
      <c r="F84" s="31">
        <v>5</v>
      </c>
      <c r="G84" s="22">
        <v>35.71</v>
      </c>
      <c r="H84" s="31"/>
      <c r="I84" s="15">
        <v>278.8</v>
      </c>
      <c r="J84" s="11">
        <v>428.57</v>
      </c>
      <c r="K84" s="37">
        <f t="shared" ref="K84" si="22">+J84*F84</f>
        <v>2142.85</v>
      </c>
      <c r="L84" s="37">
        <f t="shared" ref="L84" si="23">(1/6)*F84*J84</f>
        <v>357.14166666666665</v>
      </c>
      <c r="M84" s="12">
        <f t="shared" si="17"/>
        <v>107.1425</v>
      </c>
      <c r="N84" s="12"/>
      <c r="O84" s="12">
        <v>428.5</v>
      </c>
      <c r="P84" s="37"/>
      <c r="Q84" s="37"/>
      <c r="R84" s="37"/>
      <c r="S84" s="37"/>
      <c r="T84" s="37">
        <f t="shared" si="11"/>
        <v>0</v>
      </c>
      <c r="U84" s="37"/>
      <c r="V84" s="43">
        <f t="shared" si="12"/>
        <v>3035.6341666666667</v>
      </c>
      <c r="W84" s="61" t="s">
        <v>177</v>
      </c>
    </row>
    <row r="85" spans="2:23" x14ac:dyDescent="0.25">
      <c r="B85" s="29">
        <v>46182</v>
      </c>
      <c r="C85" s="46" t="s">
        <v>178</v>
      </c>
      <c r="D85" s="20" t="s">
        <v>22</v>
      </c>
      <c r="E85" s="21" t="s">
        <v>41</v>
      </c>
      <c r="F85" s="31">
        <v>6</v>
      </c>
      <c r="G85" s="22">
        <v>35.71</v>
      </c>
      <c r="H85" s="31"/>
      <c r="I85" s="15">
        <v>278.8</v>
      </c>
      <c r="J85" s="11">
        <v>428.57</v>
      </c>
      <c r="K85" s="37">
        <f t="shared" ref="K85" si="24">+J85*F85</f>
        <v>2571.42</v>
      </c>
      <c r="L85" s="37">
        <f t="shared" ref="L85" si="25">(1/6)*F85*J85</f>
        <v>428.57</v>
      </c>
      <c r="M85" s="51">
        <f t="shared" si="17"/>
        <v>107.1425</v>
      </c>
      <c r="N85" s="12"/>
      <c r="O85" s="12">
        <v>178.6</v>
      </c>
      <c r="P85" s="37">
        <f>G85*7</f>
        <v>249.97</v>
      </c>
      <c r="Q85" s="37"/>
      <c r="R85" s="37"/>
      <c r="S85" s="37"/>
      <c r="T85" s="37">
        <f t="shared" si="11"/>
        <v>0</v>
      </c>
      <c r="U85" s="37"/>
      <c r="V85" s="43">
        <f t="shared" si="12"/>
        <v>3535.7024999999999</v>
      </c>
      <c r="W85" s="61" t="s">
        <v>179</v>
      </c>
    </row>
    <row r="86" spans="2:23" x14ac:dyDescent="0.25">
      <c r="B86" s="29">
        <v>46185</v>
      </c>
      <c r="C86" s="46" t="s">
        <v>181</v>
      </c>
      <c r="D86" s="20" t="s">
        <v>22</v>
      </c>
      <c r="E86" s="21" t="s">
        <v>41</v>
      </c>
      <c r="F86" s="31">
        <v>6</v>
      </c>
      <c r="G86" s="22">
        <v>35.71</v>
      </c>
      <c r="H86" s="31"/>
      <c r="I86" s="15">
        <v>278.8</v>
      </c>
      <c r="J86" s="11">
        <v>428.57</v>
      </c>
      <c r="K86" s="37">
        <f t="shared" ref="K86" si="26">+J86*F86</f>
        <v>2571.42</v>
      </c>
      <c r="L86" s="37">
        <f t="shared" ref="L86" si="27">(1/6)*F86*J86</f>
        <v>428.57</v>
      </c>
      <c r="M86" s="51">
        <f t="shared" si="17"/>
        <v>107.1425</v>
      </c>
      <c r="N86" s="12"/>
      <c r="O86" s="12"/>
      <c r="P86" s="37"/>
      <c r="Q86" s="37"/>
      <c r="R86" s="37"/>
      <c r="S86" s="37"/>
      <c r="T86" s="37">
        <f t="shared" si="11"/>
        <v>0</v>
      </c>
      <c r="U86" s="37"/>
      <c r="V86" s="43">
        <f t="shared" si="12"/>
        <v>3107.1325000000002</v>
      </c>
      <c r="W86" s="61" t="s">
        <v>182</v>
      </c>
    </row>
    <row r="87" spans="2:23" x14ac:dyDescent="0.25">
      <c r="B87" s="33">
        <v>46189</v>
      </c>
      <c r="C87" s="46" t="s">
        <v>183</v>
      </c>
      <c r="D87" s="49" t="s">
        <v>22</v>
      </c>
      <c r="E87" s="50" t="s">
        <v>41</v>
      </c>
      <c r="F87" s="56">
        <v>5</v>
      </c>
      <c r="G87" s="57">
        <v>35.71</v>
      </c>
      <c r="H87" s="56"/>
      <c r="I87" s="58">
        <v>278.8</v>
      </c>
      <c r="J87" s="59">
        <v>428.57</v>
      </c>
      <c r="K87" s="60">
        <f t="shared" ref="K87" si="28">+J87*F87</f>
        <v>2142.85</v>
      </c>
      <c r="L87" s="60">
        <f t="shared" ref="L87" si="29">(1/6)*F87*J87</f>
        <v>357.14166666666665</v>
      </c>
      <c r="M87" s="51">
        <f t="shared" si="17"/>
        <v>107.1425</v>
      </c>
      <c r="N87" s="51">
        <f>G87*5</f>
        <v>178.55</v>
      </c>
      <c r="O87" s="51">
        <v>178.6</v>
      </c>
      <c r="P87" s="60"/>
      <c r="Q87" s="60"/>
      <c r="R87" s="60"/>
      <c r="S87" s="60"/>
      <c r="T87" s="60">
        <f t="shared" si="11"/>
        <v>0</v>
      </c>
      <c r="U87" s="60"/>
      <c r="V87" s="83">
        <f t="shared" si="12"/>
        <v>2964.2841666666668</v>
      </c>
      <c r="W87" s="61" t="s">
        <v>202</v>
      </c>
    </row>
    <row r="88" spans="2:23" x14ac:dyDescent="0.25">
      <c r="B88" s="29">
        <v>46195</v>
      </c>
      <c r="C88" s="46" t="s">
        <v>185</v>
      </c>
      <c r="D88" s="20" t="s">
        <v>22</v>
      </c>
      <c r="E88" s="21" t="s">
        <v>40</v>
      </c>
      <c r="F88" s="31">
        <v>6</v>
      </c>
      <c r="G88" s="22">
        <v>35.71</v>
      </c>
      <c r="H88" s="31"/>
      <c r="I88" s="15">
        <v>278.8</v>
      </c>
      <c r="J88" s="11">
        <v>428.57</v>
      </c>
      <c r="K88" s="37">
        <f t="shared" ref="K88" si="30">+J88*F88</f>
        <v>2571.42</v>
      </c>
      <c r="L88" s="37">
        <f t="shared" ref="L88" si="31">(1/6)*F88*J88</f>
        <v>428.57</v>
      </c>
      <c r="M88" s="12">
        <f t="shared" si="17"/>
        <v>107.1425</v>
      </c>
      <c r="N88" s="12"/>
      <c r="O88" s="12">
        <v>428.5</v>
      </c>
      <c r="P88" s="37"/>
      <c r="Q88" s="37"/>
      <c r="R88" s="37"/>
      <c r="S88" s="37"/>
      <c r="T88" s="37">
        <f t="shared" si="11"/>
        <v>0</v>
      </c>
      <c r="U88" s="37"/>
      <c r="V88" s="43">
        <f t="shared" si="12"/>
        <v>3535.6325000000002</v>
      </c>
      <c r="W88" s="61" t="s">
        <v>184</v>
      </c>
    </row>
    <row r="89" spans="2:23" x14ac:dyDescent="0.25">
      <c r="B89" s="29">
        <v>46214</v>
      </c>
      <c r="C89" s="46" t="s">
        <v>189</v>
      </c>
      <c r="D89" s="20" t="s">
        <v>22</v>
      </c>
      <c r="E89" s="21" t="s">
        <v>40</v>
      </c>
      <c r="F89" s="31">
        <v>6</v>
      </c>
      <c r="G89" s="22">
        <v>35.71</v>
      </c>
      <c r="H89" s="31"/>
      <c r="I89" s="15">
        <v>278.8</v>
      </c>
      <c r="J89" s="11">
        <v>428.57</v>
      </c>
      <c r="K89" s="37">
        <f t="shared" ref="K89" si="32">+J89*F89</f>
        <v>2571.42</v>
      </c>
      <c r="L89" s="37">
        <f t="shared" ref="L89" si="33">(1/6)*F89*J89</f>
        <v>428.57</v>
      </c>
      <c r="M89" s="12">
        <f t="shared" si="17"/>
        <v>107.1425</v>
      </c>
      <c r="N89" s="12"/>
      <c r="O89" s="12"/>
      <c r="P89" s="37"/>
      <c r="Q89" s="37"/>
      <c r="R89" s="37"/>
      <c r="S89" s="37"/>
      <c r="T89" s="37">
        <f t="shared" si="11"/>
        <v>0</v>
      </c>
      <c r="U89" s="37"/>
      <c r="V89" s="43">
        <f t="shared" si="12"/>
        <v>3107.1325000000002</v>
      </c>
      <c r="W89" s="61" t="s">
        <v>190</v>
      </c>
    </row>
    <row r="90" spans="2:23" x14ac:dyDescent="0.25">
      <c r="B90" s="91">
        <v>46215</v>
      </c>
      <c r="C90" s="92" t="s">
        <v>191</v>
      </c>
      <c r="D90" s="93" t="s">
        <v>22</v>
      </c>
      <c r="E90" s="94" t="s">
        <v>41</v>
      </c>
      <c r="F90" s="95">
        <v>0</v>
      </c>
      <c r="G90" s="96">
        <v>35.71</v>
      </c>
      <c r="H90" s="95"/>
      <c r="I90" s="97">
        <v>278.8</v>
      </c>
      <c r="J90" s="98">
        <v>428.57</v>
      </c>
      <c r="K90" s="99">
        <f t="shared" ref="K90" si="34">+J90*F90</f>
        <v>0</v>
      </c>
      <c r="L90" s="99">
        <f t="shared" ref="L90" si="35">(1/6)*F90*J90</f>
        <v>0</v>
      </c>
      <c r="M90" s="100"/>
      <c r="N90" s="100"/>
      <c r="O90" s="100"/>
      <c r="P90" s="99"/>
      <c r="Q90" s="99"/>
      <c r="R90" s="99"/>
      <c r="S90" s="99"/>
      <c r="T90" s="99">
        <f t="shared" si="11"/>
        <v>0</v>
      </c>
      <c r="U90" s="99"/>
      <c r="V90" s="101">
        <f t="shared" si="12"/>
        <v>0</v>
      </c>
      <c r="W90" s="102" t="s">
        <v>257</v>
      </c>
    </row>
    <row r="91" spans="2:23" x14ac:dyDescent="0.25">
      <c r="B91" s="29">
        <v>46218</v>
      </c>
      <c r="C91" s="46" t="s">
        <v>192</v>
      </c>
      <c r="D91" s="20" t="s">
        <v>22</v>
      </c>
      <c r="E91" s="21" t="s">
        <v>41</v>
      </c>
      <c r="F91" s="31">
        <v>6</v>
      </c>
      <c r="G91" s="22">
        <v>35.71</v>
      </c>
      <c r="H91" s="31"/>
      <c r="I91" s="15">
        <v>278.8</v>
      </c>
      <c r="J91" s="11">
        <v>428.57</v>
      </c>
      <c r="K91" s="37">
        <f t="shared" ref="K91" si="36">+J91*F91</f>
        <v>2571.42</v>
      </c>
      <c r="L91" s="37">
        <f t="shared" ref="L91" si="37">(1/6)*F91*J91</f>
        <v>428.57</v>
      </c>
      <c r="M91" s="51">
        <f>J91*0.25</f>
        <v>107.1425</v>
      </c>
      <c r="N91" s="12"/>
      <c r="O91" s="12"/>
      <c r="P91" s="37"/>
      <c r="Q91" s="37"/>
      <c r="R91" s="37"/>
      <c r="S91" s="37"/>
      <c r="T91" s="37">
        <f t="shared" si="11"/>
        <v>0</v>
      </c>
      <c r="U91" s="37"/>
      <c r="V91" s="43">
        <f t="shared" si="12"/>
        <v>3107.1325000000002</v>
      </c>
      <c r="W91" s="61" t="s">
        <v>193</v>
      </c>
    </row>
    <row r="92" spans="2:23" x14ac:dyDescent="0.25">
      <c r="B92" s="29">
        <v>46221</v>
      </c>
      <c r="C92" s="46" t="s">
        <v>195</v>
      </c>
      <c r="D92" s="20" t="s">
        <v>22</v>
      </c>
      <c r="E92" s="21" t="s">
        <v>40</v>
      </c>
      <c r="F92" s="31">
        <v>5</v>
      </c>
      <c r="G92" s="22">
        <v>35.71</v>
      </c>
      <c r="H92" s="31"/>
      <c r="I92" s="15">
        <v>278.8</v>
      </c>
      <c r="J92" s="11">
        <v>428.57</v>
      </c>
      <c r="K92" s="37">
        <f t="shared" ref="K92" si="38">+J92*F92</f>
        <v>2142.85</v>
      </c>
      <c r="L92" s="37">
        <f t="shared" ref="L92" si="39">(1/6)*F92*J92</f>
        <v>357.14166666666665</v>
      </c>
      <c r="M92" s="12">
        <f>J92*0.25</f>
        <v>107.1425</v>
      </c>
      <c r="N92" s="12">
        <f>G92*11</f>
        <v>392.81</v>
      </c>
      <c r="O92" s="12">
        <v>428.5</v>
      </c>
      <c r="P92" s="37"/>
      <c r="Q92" s="37"/>
      <c r="R92" s="37"/>
      <c r="S92" s="37"/>
      <c r="T92" s="37">
        <f t="shared" si="11"/>
        <v>0</v>
      </c>
      <c r="U92" s="37"/>
      <c r="V92" s="43">
        <f t="shared" si="12"/>
        <v>3428.4441666666667</v>
      </c>
      <c r="W92" s="61" t="s">
        <v>196</v>
      </c>
    </row>
    <row r="93" spans="2:23" x14ac:dyDescent="0.25">
      <c r="B93" s="33">
        <v>46224</v>
      </c>
      <c r="C93" s="46" t="s">
        <v>197</v>
      </c>
      <c r="D93" s="49" t="s">
        <v>22</v>
      </c>
      <c r="E93" s="50" t="s">
        <v>41</v>
      </c>
      <c r="F93" s="56">
        <v>6</v>
      </c>
      <c r="G93" s="57">
        <v>35.71</v>
      </c>
      <c r="H93" s="56"/>
      <c r="I93" s="58">
        <v>278.8</v>
      </c>
      <c r="J93" s="59">
        <v>428.57</v>
      </c>
      <c r="K93" s="60">
        <f t="shared" ref="K93:K94" si="40">+J93*F93</f>
        <v>2571.42</v>
      </c>
      <c r="L93" s="60">
        <f t="shared" ref="L93:L94" si="41">(1/6)*F93*J93</f>
        <v>428.57</v>
      </c>
      <c r="M93" s="51">
        <f>J93*0.25</f>
        <v>107.1425</v>
      </c>
      <c r="N93" s="51"/>
      <c r="O93" s="51"/>
      <c r="P93" s="60"/>
      <c r="Q93" s="60"/>
      <c r="R93" s="60"/>
      <c r="S93" s="60"/>
      <c r="T93" s="60">
        <f t="shared" si="11"/>
        <v>0</v>
      </c>
      <c r="U93" s="60"/>
      <c r="V93" s="83">
        <f t="shared" si="12"/>
        <v>3107.1325000000002</v>
      </c>
      <c r="W93" s="61" t="s">
        <v>198</v>
      </c>
    </row>
    <row r="94" spans="2:23" x14ac:dyDescent="0.25">
      <c r="B94" s="29">
        <v>46224</v>
      </c>
      <c r="C94" s="46" t="s">
        <v>199</v>
      </c>
      <c r="D94" s="20" t="s">
        <v>22</v>
      </c>
      <c r="E94" s="21" t="s">
        <v>41</v>
      </c>
      <c r="F94" s="31">
        <v>6</v>
      </c>
      <c r="G94" s="88">
        <v>48.8</v>
      </c>
      <c r="H94" s="56"/>
      <c r="I94" s="58">
        <v>278.8</v>
      </c>
      <c r="J94" s="89">
        <v>585.71</v>
      </c>
      <c r="K94" s="60">
        <f t="shared" si="40"/>
        <v>3514.26</v>
      </c>
      <c r="L94" s="60">
        <f t="shared" si="41"/>
        <v>585.71</v>
      </c>
      <c r="M94" s="51">
        <f>J94*0.25</f>
        <v>146.42750000000001</v>
      </c>
      <c r="N94" s="60"/>
      <c r="O94" s="12">
        <v>585.70000000000005</v>
      </c>
      <c r="P94" s="37">
        <f>G94*3</f>
        <v>146.39999999999998</v>
      </c>
      <c r="Q94" s="60"/>
      <c r="R94" s="60"/>
      <c r="S94" s="37"/>
      <c r="T94" s="60">
        <f t="shared" si="11"/>
        <v>0</v>
      </c>
      <c r="U94" s="60"/>
      <c r="V94" s="83">
        <f t="shared" si="12"/>
        <v>4978.4974999999995</v>
      </c>
      <c r="W94" s="61" t="s">
        <v>200</v>
      </c>
    </row>
    <row r="95" spans="2:23" x14ac:dyDescent="0.25">
      <c r="B95" s="29">
        <v>46224</v>
      </c>
      <c r="C95" s="46" t="s">
        <v>201</v>
      </c>
      <c r="D95" s="20" t="s">
        <v>22</v>
      </c>
      <c r="E95" s="21" t="s">
        <v>41</v>
      </c>
      <c r="F95" s="31">
        <v>6</v>
      </c>
      <c r="G95" s="22">
        <v>35.71</v>
      </c>
      <c r="H95" s="31"/>
      <c r="I95" s="15">
        <v>278.8</v>
      </c>
      <c r="J95" s="11">
        <v>428.57</v>
      </c>
      <c r="K95" s="37">
        <f t="shared" ref="K95" si="42">+J95*F95</f>
        <v>2571.42</v>
      </c>
      <c r="L95" s="37">
        <f t="shared" ref="L95" si="43">(1/6)*F95*J95</f>
        <v>428.57</v>
      </c>
      <c r="M95" s="51">
        <f>J95*0.25</f>
        <v>107.1425</v>
      </c>
      <c r="N95" s="12"/>
      <c r="O95" s="12"/>
      <c r="P95" s="37"/>
      <c r="Q95" s="37"/>
      <c r="R95" s="37"/>
      <c r="S95" s="37"/>
      <c r="T95" s="37">
        <f t="shared" si="11"/>
        <v>0</v>
      </c>
      <c r="U95" s="37"/>
      <c r="V95" s="43">
        <f t="shared" si="12"/>
        <v>3107.1325000000002</v>
      </c>
      <c r="W95" s="61" t="s">
        <v>208</v>
      </c>
    </row>
    <row r="96" spans="2:23" x14ac:dyDescent="0.25">
      <c r="B96" s="29">
        <v>46241</v>
      </c>
      <c r="C96" s="46" t="s">
        <v>204</v>
      </c>
      <c r="D96" s="20" t="s">
        <v>22</v>
      </c>
      <c r="E96" s="21" t="s">
        <v>40</v>
      </c>
      <c r="F96" s="31">
        <v>2</v>
      </c>
      <c r="G96" s="22">
        <v>35.71</v>
      </c>
      <c r="H96" s="31"/>
      <c r="I96" s="15">
        <v>278.8</v>
      </c>
      <c r="J96" s="11">
        <v>428.57</v>
      </c>
      <c r="K96" s="37">
        <f t="shared" ref="K96" si="44">+J96*F96</f>
        <v>857.14</v>
      </c>
      <c r="L96" s="37">
        <f t="shared" ref="L96" si="45">(1/6)*F96*J96</f>
        <v>142.85666666666665</v>
      </c>
      <c r="M96" s="12"/>
      <c r="N96" s="12"/>
      <c r="O96" s="12"/>
      <c r="P96" s="37"/>
      <c r="Q96" s="37"/>
      <c r="R96" s="37"/>
      <c r="S96" s="37"/>
      <c r="T96" s="37">
        <f t="shared" si="11"/>
        <v>0</v>
      </c>
      <c r="U96" s="37"/>
      <c r="V96" s="43">
        <f t="shared" si="12"/>
        <v>999.99666666666667</v>
      </c>
      <c r="W96" s="61" t="s">
        <v>205</v>
      </c>
    </row>
    <row r="97" spans="1:23" x14ac:dyDescent="0.25">
      <c r="B97" s="29">
        <v>46242</v>
      </c>
      <c r="C97" s="46" t="s">
        <v>206</v>
      </c>
      <c r="D97" s="20" t="s">
        <v>22</v>
      </c>
      <c r="E97" s="21" t="s">
        <v>40</v>
      </c>
      <c r="F97" s="31">
        <v>6</v>
      </c>
      <c r="G97" s="22">
        <v>35.71</v>
      </c>
      <c r="H97" s="31"/>
      <c r="I97" s="15">
        <v>278.8</v>
      </c>
      <c r="J97" s="11">
        <v>428.57</v>
      </c>
      <c r="K97" s="37">
        <f t="shared" ref="K97" si="46">+J97*F97</f>
        <v>2571.42</v>
      </c>
      <c r="L97" s="37">
        <f t="shared" ref="L97" si="47">(1/6)*F97*J97</f>
        <v>428.57</v>
      </c>
      <c r="M97" s="12">
        <f>J97*0.25</f>
        <v>107.1425</v>
      </c>
      <c r="N97" s="12"/>
      <c r="O97" s="12">
        <v>428.5</v>
      </c>
      <c r="P97" s="37"/>
      <c r="Q97" s="37"/>
      <c r="R97" s="37"/>
      <c r="S97" s="37"/>
      <c r="T97" s="37">
        <f t="shared" si="11"/>
        <v>0</v>
      </c>
      <c r="U97" s="37"/>
      <c r="V97" s="43">
        <f t="shared" si="12"/>
        <v>3535.6325000000002</v>
      </c>
      <c r="W97" s="61" t="s">
        <v>207</v>
      </c>
    </row>
    <row r="98" spans="1:23" x14ac:dyDescent="0.25">
      <c r="B98" s="29">
        <v>46244</v>
      </c>
      <c r="C98" s="46" t="s">
        <v>209</v>
      </c>
      <c r="D98" s="20" t="s">
        <v>22</v>
      </c>
      <c r="E98" s="21" t="s">
        <v>40</v>
      </c>
      <c r="F98" s="31">
        <v>6</v>
      </c>
      <c r="G98" s="22">
        <v>35.71</v>
      </c>
      <c r="H98" s="31"/>
      <c r="I98" s="15">
        <v>278.8</v>
      </c>
      <c r="J98" s="11">
        <v>428.57</v>
      </c>
      <c r="K98" s="37">
        <f t="shared" ref="K98" si="48">+J98*F98</f>
        <v>2571.42</v>
      </c>
      <c r="L98" s="37">
        <f t="shared" ref="L98" si="49">(1/6)*F98*J98</f>
        <v>428.57</v>
      </c>
      <c r="M98" s="12"/>
      <c r="N98" s="12"/>
      <c r="O98" s="12"/>
      <c r="P98" s="37"/>
      <c r="Q98" s="37"/>
      <c r="R98" s="37"/>
      <c r="S98" s="37"/>
      <c r="T98" s="37">
        <f t="shared" si="11"/>
        <v>0</v>
      </c>
      <c r="U98" s="37"/>
      <c r="V98" s="43">
        <f t="shared" si="12"/>
        <v>2999.9900000000002</v>
      </c>
      <c r="W98" s="61" t="s">
        <v>210</v>
      </c>
    </row>
    <row r="99" spans="1:23" x14ac:dyDescent="0.25">
      <c r="B99" s="29">
        <v>46246</v>
      </c>
      <c r="C99" s="46" t="s">
        <v>211</v>
      </c>
      <c r="D99" s="20" t="s">
        <v>22</v>
      </c>
      <c r="E99" s="21" t="s">
        <v>41</v>
      </c>
      <c r="F99" s="31">
        <v>5</v>
      </c>
      <c r="G99" s="22">
        <v>35.71</v>
      </c>
      <c r="H99" s="31"/>
      <c r="I99" s="15">
        <v>278.8</v>
      </c>
      <c r="J99" s="11">
        <v>428.57</v>
      </c>
      <c r="K99" s="37">
        <f t="shared" ref="K99" si="50">+J99*F99</f>
        <v>2142.85</v>
      </c>
      <c r="L99" s="37">
        <f t="shared" ref="L99" si="51">(1/6)*F99*J99</f>
        <v>357.14166666666665</v>
      </c>
      <c r="M99" s="51">
        <f>J99*0.25</f>
        <v>107.1425</v>
      </c>
      <c r="N99" s="12">
        <f>G99*4</f>
        <v>142.84</v>
      </c>
      <c r="O99" s="12">
        <v>249.5</v>
      </c>
      <c r="P99" s="37"/>
      <c r="Q99" s="37"/>
      <c r="R99" s="37"/>
      <c r="S99" s="37"/>
      <c r="T99" s="37">
        <f t="shared" si="11"/>
        <v>0</v>
      </c>
      <c r="U99" s="37"/>
      <c r="V99" s="43">
        <f t="shared" si="12"/>
        <v>2999.4741666666669</v>
      </c>
      <c r="W99" s="61" t="s">
        <v>212</v>
      </c>
    </row>
    <row r="100" spans="1:23" x14ac:dyDescent="0.25">
      <c r="B100" s="29">
        <v>46251</v>
      </c>
      <c r="C100" s="46" t="s">
        <v>213</v>
      </c>
      <c r="D100" s="20" t="s">
        <v>22</v>
      </c>
      <c r="E100" s="21" t="s">
        <v>40</v>
      </c>
      <c r="F100" s="31">
        <v>3</v>
      </c>
      <c r="G100" s="22">
        <v>35.71</v>
      </c>
      <c r="H100" s="31"/>
      <c r="I100" s="15">
        <v>278.8</v>
      </c>
      <c r="J100" s="11">
        <v>428.57</v>
      </c>
      <c r="K100" s="37">
        <f t="shared" ref="K100:K101" si="52">+J100*F100</f>
        <v>1285.71</v>
      </c>
      <c r="L100" s="37">
        <f t="shared" ref="L100:L101" si="53">(1/6)*F100*J100</f>
        <v>214.285</v>
      </c>
      <c r="M100" s="51"/>
      <c r="N100" s="12"/>
      <c r="O100" s="12"/>
      <c r="P100" s="37"/>
      <c r="Q100" s="37"/>
      <c r="R100" s="37"/>
      <c r="S100" s="37"/>
      <c r="T100" s="37">
        <f t="shared" si="11"/>
        <v>0</v>
      </c>
      <c r="U100" s="37"/>
      <c r="V100" s="43">
        <f t="shared" si="12"/>
        <v>1499.9950000000001</v>
      </c>
      <c r="W100" s="61" t="s">
        <v>214</v>
      </c>
    </row>
    <row r="101" spans="1:23" x14ac:dyDescent="0.25">
      <c r="B101" s="29">
        <v>46253</v>
      </c>
      <c r="C101" s="46" t="s">
        <v>215</v>
      </c>
      <c r="D101" s="20" t="s">
        <v>22</v>
      </c>
      <c r="E101" s="21" t="s">
        <v>40</v>
      </c>
      <c r="F101" s="31">
        <v>6</v>
      </c>
      <c r="G101" s="22">
        <v>35.71</v>
      </c>
      <c r="H101" s="31"/>
      <c r="I101" s="15">
        <v>278.8</v>
      </c>
      <c r="J101" s="11">
        <v>428.57</v>
      </c>
      <c r="K101" s="37">
        <f t="shared" si="52"/>
        <v>2571.42</v>
      </c>
      <c r="L101" s="37">
        <f t="shared" si="53"/>
        <v>428.57</v>
      </c>
      <c r="M101" s="12">
        <f>J101*0.25</f>
        <v>107.1425</v>
      </c>
      <c r="N101" s="12"/>
      <c r="O101" s="12">
        <v>428.5</v>
      </c>
      <c r="P101" s="37"/>
      <c r="Q101" s="37"/>
      <c r="R101" s="37"/>
      <c r="S101" s="37"/>
      <c r="T101" s="37">
        <f t="shared" si="11"/>
        <v>0</v>
      </c>
      <c r="U101" s="37"/>
      <c r="V101" s="43">
        <f t="shared" si="12"/>
        <v>3535.6325000000002</v>
      </c>
      <c r="W101" s="61" t="s">
        <v>216</v>
      </c>
    </row>
    <row r="102" spans="1:23" x14ac:dyDescent="0.25">
      <c r="B102" s="29">
        <v>46255</v>
      </c>
      <c r="C102" s="46" t="s">
        <v>217</v>
      </c>
      <c r="D102" s="20" t="s">
        <v>22</v>
      </c>
      <c r="E102" s="21" t="s">
        <v>40</v>
      </c>
      <c r="F102" s="31">
        <v>6</v>
      </c>
      <c r="G102" s="22">
        <v>35.71</v>
      </c>
      <c r="H102" s="31"/>
      <c r="I102" s="15">
        <v>278.8</v>
      </c>
      <c r="J102" s="11">
        <v>428.57</v>
      </c>
      <c r="K102" s="37">
        <f t="shared" ref="K102" si="54">+J102*F102</f>
        <v>2571.42</v>
      </c>
      <c r="L102" s="37">
        <f t="shared" ref="L102" si="55">(1/6)*F102*J102</f>
        <v>428.57</v>
      </c>
      <c r="M102" s="12">
        <f>J102*0.25</f>
        <v>107.1425</v>
      </c>
      <c r="N102" s="12"/>
      <c r="O102" s="12">
        <v>428.5</v>
      </c>
      <c r="P102" s="37"/>
      <c r="Q102" s="37"/>
      <c r="R102" s="37"/>
      <c r="S102" s="37"/>
      <c r="T102" s="37">
        <f t="shared" ref="T102:T120" si="56">J102*H102*2</f>
        <v>0</v>
      </c>
      <c r="U102" s="37"/>
      <c r="V102" s="43">
        <f t="shared" ref="V102:V133" si="57">SUM(K102:U102)</f>
        <v>3535.6325000000002</v>
      </c>
      <c r="W102" s="61" t="s">
        <v>218</v>
      </c>
    </row>
    <row r="103" spans="1:23" x14ac:dyDescent="0.25">
      <c r="B103" s="29">
        <v>46255</v>
      </c>
      <c r="C103" s="46" t="s">
        <v>219</v>
      </c>
      <c r="D103" s="20" t="s">
        <v>22</v>
      </c>
      <c r="E103" s="21" t="s">
        <v>40</v>
      </c>
      <c r="F103" s="31">
        <v>6</v>
      </c>
      <c r="G103" s="22">
        <v>35.71</v>
      </c>
      <c r="H103" s="31"/>
      <c r="I103" s="15">
        <v>278.8</v>
      </c>
      <c r="J103" s="11">
        <v>428.57</v>
      </c>
      <c r="K103" s="37">
        <f t="shared" ref="K103" si="58">+J103*F103</f>
        <v>2571.42</v>
      </c>
      <c r="L103" s="37">
        <f t="shared" ref="L103" si="59">(1/6)*F103*J103</f>
        <v>428.57</v>
      </c>
      <c r="M103" s="12"/>
      <c r="N103" s="12"/>
      <c r="O103" s="12">
        <v>428.5</v>
      </c>
      <c r="P103" s="37"/>
      <c r="Q103" s="37"/>
      <c r="R103" s="37"/>
      <c r="S103" s="37"/>
      <c r="T103" s="37">
        <f t="shared" si="56"/>
        <v>0</v>
      </c>
      <c r="U103" s="37"/>
      <c r="V103" s="43">
        <f t="shared" si="57"/>
        <v>3428.4900000000002</v>
      </c>
      <c r="W103" s="61" t="s">
        <v>220</v>
      </c>
    </row>
    <row r="104" spans="1:23" x14ac:dyDescent="0.25">
      <c r="B104" s="29">
        <v>46258</v>
      </c>
      <c r="C104" s="46" t="s">
        <v>221</v>
      </c>
      <c r="D104" s="20" t="s">
        <v>22</v>
      </c>
      <c r="E104" s="21" t="s">
        <v>41</v>
      </c>
      <c r="F104" s="31">
        <v>6</v>
      </c>
      <c r="G104" s="88">
        <v>48.8</v>
      </c>
      <c r="H104" s="56"/>
      <c r="I104" s="58">
        <v>278.8</v>
      </c>
      <c r="J104" s="89">
        <v>585.71</v>
      </c>
      <c r="K104" s="60">
        <f t="shared" ref="K104" si="60">+J104*F104</f>
        <v>3514.26</v>
      </c>
      <c r="L104" s="60">
        <f t="shared" ref="L104" si="61">(1/6)*F104*J104</f>
        <v>585.71</v>
      </c>
      <c r="M104" s="51">
        <f t="shared" ref="M104:M111" si="62">J104*0.25</f>
        <v>146.42750000000001</v>
      </c>
      <c r="N104" s="60"/>
      <c r="O104" s="12">
        <v>585.70000000000005</v>
      </c>
      <c r="P104" s="37">
        <f>G104*3</f>
        <v>146.39999999999998</v>
      </c>
      <c r="Q104" s="60"/>
      <c r="R104" s="60"/>
      <c r="S104" s="37"/>
      <c r="T104" s="60">
        <f t="shared" si="56"/>
        <v>0</v>
      </c>
      <c r="U104" s="60"/>
      <c r="V104" s="83">
        <f t="shared" si="57"/>
        <v>4978.4974999999995</v>
      </c>
      <c r="W104" s="61" t="s">
        <v>222</v>
      </c>
    </row>
    <row r="105" spans="1:23" x14ac:dyDescent="0.25">
      <c r="B105" s="29">
        <v>46258</v>
      </c>
      <c r="C105" s="46" t="s">
        <v>223</v>
      </c>
      <c r="D105" s="20" t="s">
        <v>22</v>
      </c>
      <c r="E105" s="21" t="s">
        <v>41</v>
      </c>
      <c r="F105" s="31">
        <v>3</v>
      </c>
      <c r="G105" s="22">
        <v>35.71</v>
      </c>
      <c r="H105" s="31"/>
      <c r="I105" s="15">
        <v>278.8</v>
      </c>
      <c r="J105" s="11">
        <v>428.57</v>
      </c>
      <c r="K105" s="37">
        <f t="shared" ref="K105" si="63">+J105*F105</f>
        <v>1285.71</v>
      </c>
      <c r="L105" s="37">
        <f t="shared" ref="L105" si="64">(1/6)*F105*J105</f>
        <v>214.285</v>
      </c>
      <c r="M105" s="51">
        <f t="shared" si="62"/>
        <v>107.1425</v>
      </c>
      <c r="N105" s="12"/>
      <c r="O105" s="51">
        <v>428.5</v>
      </c>
      <c r="P105" s="37"/>
      <c r="Q105" s="37"/>
      <c r="R105" s="37"/>
      <c r="S105" s="37"/>
      <c r="T105" s="37">
        <f t="shared" si="56"/>
        <v>0</v>
      </c>
      <c r="U105" s="37"/>
      <c r="V105" s="43">
        <f t="shared" si="57"/>
        <v>2035.6375</v>
      </c>
      <c r="W105" s="61" t="s">
        <v>224</v>
      </c>
    </row>
    <row r="106" spans="1:23" x14ac:dyDescent="0.25">
      <c r="B106" s="29">
        <v>46260</v>
      </c>
      <c r="C106" s="46" t="s">
        <v>225</v>
      </c>
      <c r="D106" s="20" t="s">
        <v>22</v>
      </c>
      <c r="E106" s="21" t="s">
        <v>40</v>
      </c>
      <c r="F106" s="31">
        <v>6</v>
      </c>
      <c r="G106" s="22">
        <v>35.71</v>
      </c>
      <c r="H106" s="31"/>
      <c r="I106" s="15">
        <v>278.8</v>
      </c>
      <c r="J106" s="11">
        <v>428.57</v>
      </c>
      <c r="K106" s="37">
        <f t="shared" ref="K106" si="65">+J106*F106</f>
        <v>2571.42</v>
      </c>
      <c r="L106" s="37">
        <f t="shared" ref="L106" si="66">(1/6)*F106*J106</f>
        <v>428.57</v>
      </c>
      <c r="M106" s="12">
        <f t="shared" si="62"/>
        <v>107.1425</v>
      </c>
      <c r="N106" s="12"/>
      <c r="O106" s="12">
        <v>428.5</v>
      </c>
      <c r="P106" s="37"/>
      <c r="Q106" s="37"/>
      <c r="R106" s="37"/>
      <c r="S106" s="37"/>
      <c r="T106" s="37">
        <f t="shared" si="56"/>
        <v>0</v>
      </c>
      <c r="U106" s="37"/>
      <c r="V106" s="43">
        <f t="shared" si="57"/>
        <v>3535.6325000000002</v>
      </c>
      <c r="W106" s="61" t="s">
        <v>226</v>
      </c>
    </row>
    <row r="107" spans="1:23" x14ac:dyDescent="0.25">
      <c r="B107" s="29">
        <v>46264</v>
      </c>
      <c r="C107" s="46" t="s">
        <v>229</v>
      </c>
      <c r="D107" s="20" t="s">
        <v>22</v>
      </c>
      <c r="E107" s="21" t="s">
        <v>41</v>
      </c>
      <c r="F107" s="31">
        <v>2</v>
      </c>
      <c r="G107" s="22">
        <v>35.71</v>
      </c>
      <c r="H107" s="31"/>
      <c r="I107" s="15">
        <v>278.8</v>
      </c>
      <c r="J107" s="11">
        <v>428.57</v>
      </c>
      <c r="K107" s="37">
        <f t="shared" ref="K107" si="67">+J107*F107</f>
        <v>857.14</v>
      </c>
      <c r="L107" s="37">
        <f t="shared" ref="L107" si="68">(1/6)*F107*J107</f>
        <v>142.85666666666665</v>
      </c>
      <c r="M107" s="51">
        <f t="shared" si="62"/>
        <v>107.1425</v>
      </c>
      <c r="N107" s="12">
        <f>G107*10</f>
        <v>357.1</v>
      </c>
      <c r="O107" s="51">
        <v>428.5</v>
      </c>
      <c r="P107" s="37"/>
      <c r="Q107" s="37"/>
      <c r="R107" s="37"/>
      <c r="S107" s="37"/>
      <c r="T107" s="37">
        <f t="shared" si="56"/>
        <v>0</v>
      </c>
      <c r="U107" s="37"/>
      <c r="V107" s="43">
        <f t="shared" si="57"/>
        <v>1892.7391666666667</v>
      </c>
      <c r="W107" s="61" t="s">
        <v>230</v>
      </c>
    </row>
    <row r="108" spans="1:23" x14ac:dyDescent="0.25">
      <c r="B108" s="29">
        <v>46270</v>
      </c>
      <c r="C108" s="46" t="s">
        <v>232</v>
      </c>
      <c r="D108" s="20" t="s">
        <v>22</v>
      </c>
      <c r="E108" s="21" t="s">
        <v>41</v>
      </c>
      <c r="F108" s="31">
        <v>6</v>
      </c>
      <c r="G108" s="22">
        <v>35.71</v>
      </c>
      <c r="H108" s="31"/>
      <c r="I108" s="15">
        <v>278.8</v>
      </c>
      <c r="J108" s="11">
        <v>428.57</v>
      </c>
      <c r="K108" s="37">
        <f t="shared" ref="K108" si="69">+J108*F108</f>
        <v>2571.42</v>
      </c>
      <c r="L108" s="37">
        <f t="shared" ref="L108" si="70">(1/6)*F108*J108</f>
        <v>428.57</v>
      </c>
      <c r="M108" s="51">
        <f t="shared" si="62"/>
        <v>107.1425</v>
      </c>
      <c r="N108" s="12"/>
      <c r="O108" s="51">
        <v>428.5</v>
      </c>
      <c r="P108" s="37"/>
      <c r="Q108" s="37"/>
      <c r="R108" s="37">
        <v>500</v>
      </c>
      <c r="S108" s="37"/>
      <c r="T108" s="37">
        <f t="shared" si="56"/>
        <v>0</v>
      </c>
      <c r="U108" s="37"/>
      <c r="V108" s="43">
        <f t="shared" si="57"/>
        <v>4035.6325000000002</v>
      </c>
      <c r="W108" s="61" t="s">
        <v>241</v>
      </c>
    </row>
    <row r="109" spans="1:23" x14ac:dyDescent="0.25">
      <c r="A109" s="116"/>
      <c r="B109" s="29">
        <v>46272</v>
      </c>
      <c r="C109" s="46" t="s">
        <v>233</v>
      </c>
      <c r="D109" s="20" t="s">
        <v>22</v>
      </c>
      <c r="E109" s="21" t="s">
        <v>41</v>
      </c>
      <c r="F109" s="31">
        <v>6</v>
      </c>
      <c r="G109" s="22">
        <v>35.71</v>
      </c>
      <c r="H109" s="31"/>
      <c r="I109" s="15">
        <v>278.8</v>
      </c>
      <c r="J109" s="11">
        <v>428.57</v>
      </c>
      <c r="K109" s="37">
        <f t="shared" ref="K109" si="71">+J109*F109</f>
        <v>2571.42</v>
      </c>
      <c r="L109" s="37">
        <f t="shared" ref="L109" si="72">(1/6)*F109*J109</f>
        <v>428.57</v>
      </c>
      <c r="M109" s="51">
        <f t="shared" si="62"/>
        <v>107.1425</v>
      </c>
      <c r="N109" s="12"/>
      <c r="O109" s="51">
        <v>428.5</v>
      </c>
      <c r="P109" s="37">
        <f>G109*2</f>
        <v>71.42</v>
      </c>
      <c r="Q109" s="37"/>
      <c r="R109" s="37"/>
      <c r="S109" s="37"/>
      <c r="T109" s="37">
        <f t="shared" si="56"/>
        <v>0</v>
      </c>
      <c r="U109" s="37"/>
      <c r="V109" s="43">
        <f t="shared" si="57"/>
        <v>3607.0525000000002</v>
      </c>
      <c r="W109" s="61" t="s">
        <v>247</v>
      </c>
    </row>
    <row r="110" spans="1:23" x14ac:dyDescent="0.25">
      <c r="A110" s="116"/>
      <c r="B110" s="29">
        <v>46272</v>
      </c>
      <c r="C110" s="46" t="s">
        <v>234</v>
      </c>
      <c r="D110" s="20" t="s">
        <v>22</v>
      </c>
      <c r="E110" s="21" t="s">
        <v>41</v>
      </c>
      <c r="F110" s="31">
        <v>6</v>
      </c>
      <c r="G110" s="22">
        <v>35.71</v>
      </c>
      <c r="H110" s="31"/>
      <c r="I110" s="15">
        <v>278.8</v>
      </c>
      <c r="J110" s="11">
        <v>428.57</v>
      </c>
      <c r="K110" s="37">
        <f t="shared" ref="K110" si="73">+J110*F110</f>
        <v>2571.42</v>
      </c>
      <c r="L110" s="37">
        <f t="shared" ref="L110" si="74">(1/6)*F110*J110</f>
        <v>428.57</v>
      </c>
      <c r="M110" s="51">
        <f t="shared" si="62"/>
        <v>107.1425</v>
      </c>
      <c r="N110" s="12"/>
      <c r="O110" s="51">
        <v>428.5</v>
      </c>
      <c r="P110" s="37"/>
      <c r="Q110" s="37"/>
      <c r="R110" s="37">
        <v>500</v>
      </c>
      <c r="S110" s="37"/>
      <c r="T110" s="37">
        <f t="shared" si="56"/>
        <v>0</v>
      </c>
      <c r="U110" s="37"/>
      <c r="V110" s="43">
        <f t="shared" si="57"/>
        <v>4035.6325000000002</v>
      </c>
      <c r="W110" s="61" t="s">
        <v>242</v>
      </c>
    </row>
    <row r="111" spans="1:23" x14ac:dyDescent="0.25">
      <c r="A111" s="116"/>
      <c r="B111" s="29">
        <v>46272</v>
      </c>
      <c r="C111" s="46" t="s">
        <v>235</v>
      </c>
      <c r="D111" s="20" t="s">
        <v>22</v>
      </c>
      <c r="E111" s="21" t="s">
        <v>41</v>
      </c>
      <c r="F111" s="31">
        <v>6</v>
      </c>
      <c r="G111" s="22">
        <v>35.71</v>
      </c>
      <c r="H111" s="31"/>
      <c r="I111" s="15">
        <v>278.8</v>
      </c>
      <c r="J111" s="11">
        <v>428.57</v>
      </c>
      <c r="K111" s="37">
        <f t="shared" ref="K111" si="75">+J111*F111</f>
        <v>2571.42</v>
      </c>
      <c r="L111" s="37">
        <f t="shared" ref="L111" si="76">(1/6)*F111*J111</f>
        <v>428.57</v>
      </c>
      <c r="M111" s="51">
        <f t="shared" si="62"/>
        <v>107.1425</v>
      </c>
      <c r="N111" s="12"/>
      <c r="O111" s="12"/>
      <c r="P111" s="37"/>
      <c r="Q111" s="37"/>
      <c r="R111" s="37"/>
      <c r="S111" s="37"/>
      <c r="T111" s="37">
        <f t="shared" si="56"/>
        <v>0</v>
      </c>
      <c r="U111" s="37"/>
      <c r="V111" s="43">
        <f t="shared" si="57"/>
        <v>3107.1325000000002</v>
      </c>
      <c r="W111" s="61" t="s">
        <v>243</v>
      </c>
    </row>
    <row r="112" spans="1:23" x14ac:dyDescent="0.25">
      <c r="A112" s="116"/>
      <c r="B112" s="29">
        <v>46272</v>
      </c>
      <c r="C112" s="46" t="s">
        <v>236</v>
      </c>
      <c r="D112" s="20" t="s">
        <v>22</v>
      </c>
      <c r="E112" s="21" t="s">
        <v>41</v>
      </c>
      <c r="F112" s="31">
        <v>6</v>
      </c>
      <c r="G112" s="22">
        <v>35.71</v>
      </c>
      <c r="H112" s="31"/>
      <c r="I112" s="15">
        <v>278.8</v>
      </c>
      <c r="J112" s="11">
        <v>428.57</v>
      </c>
      <c r="K112" s="37">
        <f t="shared" ref="K112" si="77">+J112*F112</f>
        <v>2571.42</v>
      </c>
      <c r="L112" s="37">
        <f t="shared" ref="L112" si="78">(1/6)*F112*J112</f>
        <v>428.57</v>
      </c>
      <c r="M112" s="12"/>
      <c r="N112" s="12"/>
      <c r="O112" s="12"/>
      <c r="P112" s="37"/>
      <c r="Q112" s="37"/>
      <c r="R112" s="37"/>
      <c r="S112" s="37"/>
      <c r="T112" s="37">
        <f t="shared" si="56"/>
        <v>0</v>
      </c>
      <c r="U112" s="37"/>
      <c r="V112" s="43">
        <f t="shared" si="57"/>
        <v>2999.9900000000002</v>
      </c>
      <c r="W112" s="61" t="s">
        <v>244</v>
      </c>
    </row>
    <row r="113" spans="1:23" x14ac:dyDescent="0.25">
      <c r="A113" s="116"/>
      <c r="B113" s="29">
        <v>46273</v>
      </c>
      <c r="C113" s="46" t="s">
        <v>237</v>
      </c>
      <c r="D113" s="20" t="s">
        <v>22</v>
      </c>
      <c r="E113" s="21" t="s">
        <v>40</v>
      </c>
      <c r="F113" s="31">
        <v>6</v>
      </c>
      <c r="G113" s="22">
        <v>35.71</v>
      </c>
      <c r="H113" s="31"/>
      <c r="I113" s="15">
        <v>278.8</v>
      </c>
      <c r="J113" s="11">
        <v>428.57</v>
      </c>
      <c r="K113" s="37">
        <f t="shared" ref="K113" si="79">+J113*F113</f>
        <v>2571.42</v>
      </c>
      <c r="L113" s="37">
        <f t="shared" ref="L113" si="80">(1/6)*F113*J113</f>
        <v>428.57</v>
      </c>
      <c r="M113" s="12">
        <f>J113*0.25</f>
        <v>107.1425</v>
      </c>
      <c r="N113" s="12"/>
      <c r="O113" s="12">
        <v>428.5</v>
      </c>
      <c r="P113" s="37"/>
      <c r="Q113" s="37"/>
      <c r="R113" s="37">
        <v>500</v>
      </c>
      <c r="S113" s="37"/>
      <c r="T113" s="37">
        <f t="shared" si="56"/>
        <v>0</v>
      </c>
      <c r="U113" s="37"/>
      <c r="V113" s="43">
        <f t="shared" si="57"/>
        <v>4035.6325000000002</v>
      </c>
      <c r="W113" s="61" t="s">
        <v>245</v>
      </c>
    </row>
    <row r="114" spans="1:23" x14ac:dyDescent="0.25">
      <c r="A114" s="116"/>
      <c r="B114" s="29">
        <v>46273</v>
      </c>
      <c r="C114" s="46" t="s">
        <v>238</v>
      </c>
      <c r="D114" s="20" t="s">
        <v>22</v>
      </c>
      <c r="E114" s="21" t="s">
        <v>40</v>
      </c>
      <c r="F114" s="31">
        <v>6</v>
      </c>
      <c r="G114" s="22">
        <v>35.71</v>
      </c>
      <c r="H114" s="31"/>
      <c r="I114" s="15">
        <v>278.8</v>
      </c>
      <c r="J114" s="11">
        <v>428.57</v>
      </c>
      <c r="K114" s="37">
        <f t="shared" ref="K114" si="81">+J114*F114</f>
        <v>2571.42</v>
      </c>
      <c r="L114" s="37">
        <f t="shared" ref="L114" si="82">(1/6)*F114*J114</f>
        <v>428.57</v>
      </c>
      <c r="M114" s="12">
        <f>J114*0.25</f>
        <v>107.1425</v>
      </c>
      <c r="N114" s="12"/>
      <c r="O114" s="12"/>
      <c r="P114" s="37"/>
      <c r="Q114" s="37"/>
      <c r="R114" s="37"/>
      <c r="S114" s="37"/>
      <c r="T114" s="37">
        <f t="shared" si="56"/>
        <v>0</v>
      </c>
      <c r="U114" s="37"/>
      <c r="V114" s="43">
        <f t="shared" si="57"/>
        <v>3107.1325000000002</v>
      </c>
      <c r="W114" s="61" t="s">
        <v>246</v>
      </c>
    </row>
    <row r="115" spans="1:23" x14ac:dyDescent="0.25">
      <c r="A115" s="116"/>
      <c r="B115" s="29">
        <v>46273</v>
      </c>
      <c r="C115" s="46" t="s">
        <v>239</v>
      </c>
      <c r="D115" s="20" t="s">
        <v>22</v>
      </c>
      <c r="E115" s="21" t="s">
        <v>41</v>
      </c>
      <c r="F115" s="31">
        <v>1</v>
      </c>
      <c r="G115" s="22">
        <v>35.71</v>
      </c>
      <c r="H115" s="31"/>
      <c r="I115" s="15">
        <v>278.8</v>
      </c>
      <c r="J115" s="11">
        <v>428.57</v>
      </c>
      <c r="K115" s="37">
        <f t="shared" ref="K115" si="83">+J115*F115</f>
        <v>428.57</v>
      </c>
      <c r="L115" s="37">
        <f t="shared" ref="L115" si="84">(1/6)*F115*J115</f>
        <v>71.428333333333327</v>
      </c>
      <c r="M115" s="12"/>
      <c r="N115" s="12"/>
      <c r="O115" s="12"/>
      <c r="P115" s="37"/>
      <c r="Q115" s="37"/>
      <c r="R115" s="37"/>
      <c r="S115" s="37"/>
      <c r="T115" s="37">
        <f t="shared" si="56"/>
        <v>0</v>
      </c>
      <c r="U115" s="37"/>
      <c r="V115" s="43">
        <f t="shared" ref="V115" si="85">SUM(K115:U115)</f>
        <v>499.99833333333333</v>
      </c>
      <c r="W115" s="61" t="s">
        <v>248</v>
      </c>
    </row>
    <row r="116" spans="1:23" x14ac:dyDescent="0.25">
      <c r="A116" s="116" t="s">
        <v>240</v>
      </c>
      <c r="B116" s="29">
        <v>46279</v>
      </c>
      <c r="C116" s="46" t="s">
        <v>258</v>
      </c>
      <c r="D116" s="20" t="s">
        <v>22</v>
      </c>
      <c r="E116" s="21" t="s">
        <v>41</v>
      </c>
      <c r="F116" s="31">
        <v>3</v>
      </c>
      <c r="G116" s="22">
        <v>35.71</v>
      </c>
      <c r="H116" s="31"/>
      <c r="I116" s="15">
        <v>278.8</v>
      </c>
      <c r="J116" s="11">
        <v>428.57</v>
      </c>
      <c r="K116" s="37">
        <f t="shared" ref="K116" si="86">+J116*F116</f>
        <v>1285.71</v>
      </c>
      <c r="L116" s="37">
        <f t="shared" ref="L116" si="87">(1/6)*F116*J116</f>
        <v>214.285</v>
      </c>
      <c r="M116" s="12"/>
      <c r="N116" s="12"/>
      <c r="O116" s="12"/>
      <c r="P116" s="37"/>
      <c r="Q116" s="37"/>
      <c r="R116" s="37"/>
      <c r="S116" s="37"/>
      <c r="T116" s="37">
        <f t="shared" si="56"/>
        <v>0</v>
      </c>
      <c r="U116" s="37"/>
      <c r="V116" s="43">
        <f t="shared" ref="V116" si="88">SUM(K116:U116)</f>
        <v>1499.9950000000001</v>
      </c>
      <c r="W116" s="61" t="s">
        <v>259</v>
      </c>
    </row>
    <row r="117" spans="1:23" x14ac:dyDescent="0.25">
      <c r="A117" s="116" t="s">
        <v>260</v>
      </c>
      <c r="B117" s="29">
        <v>46279</v>
      </c>
      <c r="C117" s="46" t="s">
        <v>261</v>
      </c>
      <c r="D117" s="20" t="s">
        <v>22</v>
      </c>
      <c r="E117" s="21" t="s">
        <v>41</v>
      </c>
      <c r="F117" s="31">
        <v>3</v>
      </c>
      <c r="G117" s="22">
        <v>35.71</v>
      </c>
      <c r="H117" s="31"/>
      <c r="I117" s="15">
        <v>278.8</v>
      </c>
      <c r="J117" s="11">
        <v>428.57</v>
      </c>
      <c r="K117" s="37">
        <f t="shared" ref="K117" si="89">+J117*F117</f>
        <v>1285.71</v>
      </c>
      <c r="L117" s="37">
        <f t="shared" ref="L117" si="90">(1/6)*F117*J117</f>
        <v>214.285</v>
      </c>
      <c r="M117" s="12"/>
      <c r="N117" s="12"/>
      <c r="O117" s="12">
        <v>249.5</v>
      </c>
      <c r="P117" s="37"/>
      <c r="Q117" s="37"/>
      <c r="R117" s="37"/>
      <c r="S117" s="37"/>
      <c r="T117" s="37">
        <f t="shared" si="56"/>
        <v>0</v>
      </c>
      <c r="U117" s="37"/>
      <c r="V117" s="43">
        <f t="shared" ref="V117" si="91">SUM(K117:U117)</f>
        <v>1749.4950000000001</v>
      </c>
      <c r="W117" s="61" t="s">
        <v>262</v>
      </c>
    </row>
    <row r="118" spans="1:23" x14ac:dyDescent="0.25">
      <c r="A118" s="116" t="s">
        <v>263</v>
      </c>
      <c r="B118" s="29">
        <v>46280</v>
      </c>
      <c r="C118" s="46" t="s">
        <v>264</v>
      </c>
      <c r="D118" s="20" t="s">
        <v>22</v>
      </c>
      <c r="E118" s="21" t="s">
        <v>41</v>
      </c>
      <c r="F118" s="31">
        <v>3</v>
      </c>
      <c r="G118" s="22">
        <v>35.71</v>
      </c>
      <c r="H118" s="31"/>
      <c r="I118" s="15">
        <v>278.8</v>
      </c>
      <c r="J118" s="11">
        <v>428.57</v>
      </c>
      <c r="K118" s="37">
        <f t="shared" ref="K118" si="92">+J118*F118</f>
        <v>1285.71</v>
      </c>
      <c r="L118" s="37">
        <f t="shared" ref="L118" si="93">(1/6)*F118*J118</f>
        <v>214.285</v>
      </c>
      <c r="M118" s="12"/>
      <c r="N118" s="12"/>
      <c r="O118" s="12">
        <v>428.5</v>
      </c>
      <c r="P118" s="37"/>
      <c r="Q118" s="37"/>
      <c r="R118" s="37"/>
      <c r="S118" s="37"/>
      <c r="T118" s="37">
        <f t="shared" si="56"/>
        <v>0</v>
      </c>
      <c r="U118" s="37"/>
      <c r="V118" s="43">
        <f t="shared" ref="V118" si="94">SUM(K118:U118)</f>
        <v>1928.4950000000001</v>
      </c>
      <c r="W118" s="61" t="s">
        <v>265</v>
      </c>
    </row>
    <row r="119" spans="1:23" x14ac:dyDescent="0.25">
      <c r="A119" s="116" t="s">
        <v>266</v>
      </c>
      <c r="B119" s="29">
        <v>46280</v>
      </c>
      <c r="C119" s="46" t="s">
        <v>267</v>
      </c>
      <c r="D119" s="20" t="s">
        <v>22</v>
      </c>
      <c r="E119" s="21" t="s">
        <v>41</v>
      </c>
      <c r="F119" s="31">
        <v>1</v>
      </c>
      <c r="G119" s="22">
        <v>35.71</v>
      </c>
      <c r="H119" s="31"/>
      <c r="I119" s="15">
        <v>278.8</v>
      </c>
      <c r="J119" s="11">
        <v>428.57</v>
      </c>
      <c r="K119" s="37">
        <f t="shared" ref="K119" si="95">+J119*F119</f>
        <v>428.57</v>
      </c>
      <c r="L119" s="37">
        <f t="shared" ref="L119" si="96">(1/6)*F119*J119</f>
        <v>71.428333333333327</v>
      </c>
      <c r="M119" s="12"/>
      <c r="N119" s="12"/>
      <c r="O119" s="12"/>
      <c r="P119" s="37"/>
      <c r="Q119" s="37"/>
      <c r="R119" s="37"/>
      <c r="S119" s="37"/>
      <c r="T119" s="37">
        <f t="shared" si="56"/>
        <v>0</v>
      </c>
      <c r="U119" s="37"/>
      <c r="V119" s="43">
        <f t="shared" ref="V119" si="97">SUM(K119:U119)</f>
        <v>499.99833333333333</v>
      </c>
      <c r="W119" s="61" t="s">
        <v>268</v>
      </c>
    </row>
    <row r="120" spans="1:23" x14ac:dyDescent="0.25">
      <c r="A120" s="116" t="s">
        <v>269</v>
      </c>
      <c r="B120" s="29">
        <v>46280</v>
      </c>
      <c r="C120" s="46" t="s">
        <v>270</v>
      </c>
      <c r="D120" s="20" t="s">
        <v>22</v>
      </c>
      <c r="E120" s="21" t="s">
        <v>41</v>
      </c>
      <c r="F120" s="31">
        <v>1</v>
      </c>
      <c r="G120" s="22">
        <v>35.71</v>
      </c>
      <c r="H120" s="31"/>
      <c r="I120" s="15">
        <v>278.8</v>
      </c>
      <c r="J120" s="11">
        <v>428.57</v>
      </c>
      <c r="K120" s="37">
        <f t="shared" ref="K120" si="98">+J120*F120</f>
        <v>428.57</v>
      </c>
      <c r="L120" s="37">
        <f t="shared" ref="L120" si="99">(1/6)*F120*J120</f>
        <v>71.428333333333327</v>
      </c>
      <c r="M120" s="12"/>
      <c r="N120" s="12"/>
      <c r="O120" s="12"/>
      <c r="P120" s="37"/>
      <c r="Q120" s="37"/>
      <c r="R120" s="37"/>
      <c r="S120" s="37"/>
      <c r="T120" s="37">
        <f t="shared" si="56"/>
        <v>0</v>
      </c>
      <c r="U120" s="37"/>
      <c r="V120" s="43">
        <f t="shared" ref="V120" si="100">SUM(K120:U120)</f>
        <v>499.99833333333333</v>
      </c>
      <c r="W120" s="61" t="s">
        <v>271</v>
      </c>
    </row>
    <row r="121" spans="1:23" x14ac:dyDescent="0.25">
      <c r="O121" s="64">
        <f>SUM(O6:O120)</f>
        <v>19031.300000000003</v>
      </c>
      <c r="V121" s="64">
        <f>SUM(V6:V120)</f>
        <v>333189.12916666694</v>
      </c>
    </row>
    <row r="1048067" spans="16:17" x14ac:dyDescent="0.25">
      <c r="P1048067" s="62"/>
      <c r="Q1048067" s="62"/>
    </row>
  </sheetData>
  <autoFilter ref="B5:Y121" xr:uid="{00000000-0001-0000-0000-000000000000}">
    <sortState xmlns:xlrd2="http://schemas.microsoft.com/office/spreadsheetml/2017/richdata2" ref="B6:Y8">
      <sortCondition ref="C5:C8"/>
    </sortState>
  </autoFilter>
  <sortState xmlns:xlrd2="http://schemas.microsoft.com/office/spreadsheetml/2017/richdata2" ref="B6:X46">
    <sortCondition ref="B6:B46"/>
  </sortState>
  <mergeCells count="2">
    <mergeCell ref="F4:K4"/>
    <mergeCell ref="F3:K3"/>
  </mergeCells>
  <conditionalFormatting sqref="B6:F7 G6:G9 P6:V29 E18:E50 G30:G93 E52:E120 G95:G103 G105:G120">
    <cfRule type="cellIs" dxfId="34" priority="5915" operator="lessThan">
      <formula>0</formula>
    </cfRule>
  </conditionalFormatting>
  <conditionalFormatting sqref="B10:G10">
    <cfRule type="cellIs" dxfId="33" priority="6015" operator="lessThan">
      <formula>0</formula>
    </cfRule>
  </conditionalFormatting>
  <conditionalFormatting sqref="C3:E4 L4:W4 B5:W5 P1048067:Q1048576">
    <cfRule type="cellIs" dxfId="32" priority="6407" operator="lessThan">
      <formula>0</formula>
    </cfRule>
  </conditionalFormatting>
  <conditionalFormatting sqref="D29">
    <cfRule type="cellIs" dxfId="31" priority="1457" operator="lessThan">
      <formula>0</formula>
    </cfRule>
  </conditionalFormatting>
  <conditionalFormatting sqref="E9">
    <cfRule type="cellIs" dxfId="30" priority="6103" operator="lessThan">
      <formula>0</formula>
    </cfRule>
  </conditionalFormatting>
  <conditionalFormatting sqref="F13">
    <cfRule type="cellIs" dxfId="29" priority="5842" operator="lessThan">
      <formula>0</formula>
    </cfRule>
  </conditionalFormatting>
  <conditionalFormatting sqref="F4:H4">
    <cfRule type="cellIs" dxfId="28" priority="6167" operator="lessThan">
      <formula>0</formula>
    </cfRule>
  </conditionalFormatting>
  <conditionalFormatting sqref="F29:O29">
    <cfRule type="cellIs" dxfId="27" priority="56" operator="lessThan">
      <formula>0</formula>
    </cfRule>
  </conditionalFormatting>
  <conditionalFormatting sqref="G11:G28 N30:V32 D51:E51">
    <cfRule type="cellIs" dxfId="26" priority="1422" operator="lessThan">
      <formula>0</formula>
    </cfRule>
  </conditionalFormatting>
  <conditionalFormatting sqref="G94:L94">
    <cfRule type="cellIs" dxfId="25" priority="169" operator="lessThan">
      <formula>0</formula>
    </cfRule>
  </conditionalFormatting>
  <conditionalFormatting sqref="G104:L104">
    <cfRule type="cellIs" dxfId="24" priority="178" operator="lessThan">
      <formula>0</formula>
    </cfRule>
  </conditionalFormatting>
  <conditionalFormatting sqref="H30:M30">
    <cfRule type="cellIs" dxfId="23" priority="251" operator="lessThan">
      <formula>0</formula>
    </cfRule>
  </conditionalFormatting>
  <conditionalFormatting sqref="H6:O6">
    <cfRule type="cellIs" dxfId="22" priority="104" operator="lessThan">
      <formula>0</formula>
    </cfRule>
  </conditionalFormatting>
  <conditionalFormatting sqref="I91:L93">
    <cfRule type="cellIs" dxfId="21" priority="71" operator="lessThan">
      <formula>0</formula>
    </cfRule>
  </conditionalFormatting>
  <conditionalFormatting sqref="I95:L95">
    <cfRule type="cellIs" dxfId="20" priority="145" operator="lessThan">
      <formula>0</formula>
    </cfRule>
  </conditionalFormatting>
  <conditionalFormatting sqref="I31:M32">
    <cfRule type="cellIs" dxfId="19" priority="89" operator="lessThan">
      <formula>0</formula>
    </cfRule>
  </conditionalFormatting>
  <conditionalFormatting sqref="I101:N103">
    <cfRule type="cellIs" dxfId="18" priority="47" operator="lessThan">
      <formula>0</formula>
    </cfRule>
  </conditionalFormatting>
  <conditionalFormatting sqref="I7:O28">
    <cfRule type="cellIs" dxfId="17" priority="18" operator="lessThan">
      <formula>0</formula>
    </cfRule>
  </conditionalFormatting>
  <conditionalFormatting sqref="I33:V90">
    <cfRule type="cellIs" dxfId="16" priority="12" operator="lessThan">
      <formula>0</formula>
    </cfRule>
  </conditionalFormatting>
  <conditionalFormatting sqref="I96:V100">
    <cfRule type="cellIs" dxfId="15" priority="14" operator="lessThan">
      <formula>0</formula>
    </cfRule>
  </conditionalFormatting>
  <conditionalFormatting sqref="I112:V120">
    <cfRule type="cellIs" dxfId="14" priority="1" operator="lessThan">
      <formula>0</formula>
    </cfRule>
  </conditionalFormatting>
  <conditionalFormatting sqref="M104:M111">
    <cfRule type="cellIs" dxfId="13" priority="7" operator="lessThan">
      <formula>0</formula>
    </cfRule>
  </conditionalFormatting>
  <conditionalFormatting sqref="M91:V95">
    <cfRule type="cellIs" dxfId="12" priority="16" operator="lessThan">
      <formula>0</formula>
    </cfRule>
  </conditionalFormatting>
  <conditionalFormatting sqref="N104:N110 I105:L111 N111:V111">
    <cfRule type="cellIs" dxfId="11" priority="62" operator="lessThan">
      <formula>0</formula>
    </cfRule>
  </conditionalFormatting>
  <conditionalFormatting sqref="O101:V110">
    <cfRule type="cellIs" dxfId="10" priority="8" operator="lessThan">
      <formula>0</formula>
    </cfRule>
  </conditionalFormatting>
  <conditionalFormatting sqref="T3:V3">
    <cfRule type="cellIs" dxfId="9" priority="6276" operator="lessThan">
      <formula>0</formula>
    </cfRule>
  </conditionalFormatting>
  <conditionalFormatting sqref="V2">
    <cfRule type="cellIs" dxfId="8" priority="6260" operator="lessThan">
      <formula>0</formula>
    </cfRule>
  </conditionalFormatting>
  <conditionalFormatting sqref="W2:X3">
    <cfRule type="cellIs" dxfId="7" priority="6273" operator="lessThan">
      <formula>0</formula>
    </cfRule>
  </conditionalFormatting>
  <pageMargins left="0.70866141732283472" right="0.17" top="0.74803149606299213" bottom="0.6" header="0.31496062992125984" footer="0.31496062992125984"/>
  <pageSetup scale="24" orientation="portrait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448C-540A-43E3-9122-F0493658B09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AF46-2BA9-4687-8D28-B9E36AF9945A}">
  <dimension ref="A1:B26"/>
  <sheetViews>
    <sheetView topLeftCell="A21" workbookViewId="0">
      <selection activeCell="H30" sqref="H30"/>
    </sheetView>
  </sheetViews>
  <sheetFormatPr baseColWidth="10" defaultRowHeight="15" x14ac:dyDescent="0.25"/>
  <cols>
    <col min="1" max="1" width="37.7109375" bestFit="1" customWidth="1"/>
  </cols>
  <sheetData>
    <row r="1" spans="1:2" x14ac:dyDescent="0.25">
      <c r="A1" s="47" t="s">
        <v>43</v>
      </c>
      <c r="B1" s="51">
        <v>321.39</v>
      </c>
    </row>
    <row r="2" spans="1:2" x14ac:dyDescent="0.25">
      <c r="A2" s="66" t="s">
        <v>46</v>
      </c>
      <c r="B2" s="71">
        <v>392.81</v>
      </c>
    </row>
    <row r="3" spans="1:2" x14ac:dyDescent="0.25">
      <c r="A3" s="46" t="s">
        <v>52</v>
      </c>
      <c r="B3" s="37">
        <v>392.81</v>
      </c>
    </row>
    <row r="4" spans="1:2" x14ac:dyDescent="0.25">
      <c r="A4" s="46" t="s">
        <v>53</v>
      </c>
      <c r="B4" s="37">
        <v>357.1</v>
      </c>
    </row>
    <row r="5" spans="1:2" x14ac:dyDescent="0.25">
      <c r="A5" s="46" t="s">
        <v>57</v>
      </c>
      <c r="B5" s="51">
        <v>392.81</v>
      </c>
    </row>
    <row r="6" spans="1:2" x14ac:dyDescent="0.25">
      <c r="A6" s="46" t="s">
        <v>58</v>
      </c>
      <c r="B6" s="51">
        <v>321.39</v>
      </c>
    </row>
    <row r="7" spans="1:2" x14ac:dyDescent="0.25">
      <c r="A7" s="74" t="s">
        <v>75</v>
      </c>
      <c r="B7" s="81">
        <v>392.81</v>
      </c>
    </row>
    <row r="8" spans="1:2" x14ac:dyDescent="0.25">
      <c r="A8" s="46" t="s">
        <v>62</v>
      </c>
      <c r="B8" s="51">
        <v>357.1</v>
      </c>
    </row>
    <row r="9" spans="1:2" x14ac:dyDescent="0.25">
      <c r="A9" s="46" t="s">
        <v>64</v>
      </c>
      <c r="B9" s="37">
        <v>392.81</v>
      </c>
    </row>
    <row r="10" spans="1:2" x14ac:dyDescent="0.25">
      <c r="A10" s="46" t="s">
        <v>50</v>
      </c>
      <c r="B10" s="51">
        <v>285.68</v>
      </c>
    </row>
    <row r="11" spans="1:2" x14ac:dyDescent="0.25">
      <c r="A11" s="46" t="s">
        <v>67</v>
      </c>
      <c r="B11" s="37">
        <v>392.81</v>
      </c>
    </row>
    <row r="12" spans="1:2" x14ac:dyDescent="0.25">
      <c r="A12" s="46" t="s">
        <v>69</v>
      </c>
      <c r="B12" s="37">
        <v>357.1</v>
      </c>
    </row>
    <row r="13" spans="1:2" x14ac:dyDescent="0.25">
      <c r="A13" s="46" t="s">
        <v>70</v>
      </c>
      <c r="B13" s="37">
        <v>357.1</v>
      </c>
    </row>
    <row r="14" spans="1:2" x14ac:dyDescent="0.25">
      <c r="A14" s="46" t="s">
        <v>74</v>
      </c>
      <c r="B14" s="37">
        <v>214.26</v>
      </c>
    </row>
    <row r="15" spans="1:2" x14ac:dyDescent="0.25">
      <c r="A15" s="46" t="s">
        <v>77</v>
      </c>
      <c r="B15" s="37">
        <v>357.1</v>
      </c>
    </row>
    <row r="16" spans="1:2" x14ac:dyDescent="0.25">
      <c r="A16" s="46" t="s">
        <v>78</v>
      </c>
      <c r="B16" s="37">
        <v>249.97</v>
      </c>
    </row>
    <row r="17" spans="1:2" x14ac:dyDescent="0.25">
      <c r="A17" s="46" t="s">
        <v>88</v>
      </c>
      <c r="B17" s="37">
        <v>249.97</v>
      </c>
    </row>
    <row r="18" spans="1:2" x14ac:dyDescent="0.25">
      <c r="A18" s="46" t="s">
        <v>90</v>
      </c>
      <c r="B18" s="37">
        <v>392.81</v>
      </c>
    </row>
    <row r="19" spans="1:2" x14ac:dyDescent="0.25">
      <c r="A19" s="46" t="s">
        <v>91</v>
      </c>
      <c r="B19" s="37">
        <v>392.81</v>
      </c>
    </row>
    <row r="20" spans="1:2" x14ac:dyDescent="0.25">
      <c r="A20" s="46" t="s">
        <v>92</v>
      </c>
      <c r="B20" s="37">
        <v>214.26</v>
      </c>
    </row>
    <row r="21" spans="1:2" x14ac:dyDescent="0.25">
      <c r="A21" s="46" t="s">
        <v>93</v>
      </c>
      <c r="B21" s="37">
        <v>392.81</v>
      </c>
    </row>
    <row r="22" spans="1:2" x14ac:dyDescent="0.25">
      <c r="A22" s="46" t="s">
        <v>94</v>
      </c>
      <c r="B22" s="37">
        <v>321.39</v>
      </c>
    </row>
    <row r="23" spans="1:2" x14ac:dyDescent="0.25">
      <c r="A23" s="46" t="s">
        <v>95</v>
      </c>
      <c r="B23" s="37">
        <v>392.81</v>
      </c>
    </row>
    <row r="24" spans="1:2" x14ac:dyDescent="0.25">
      <c r="A24" s="46" t="s">
        <v>96</v>
      </c>
      <c r="B24" s="37">
        <v>321.39</v>
      </c>
    </row>
    <row r="25" spans="1:2" x14ac:dyDescent="0.25">
      <c r="A25" s="46" t="s">
        <v>99</v>
      </c>
      <c r="B25" s="37">
        <v>392.81</v>
      </c>
    </row>
    <row r="26" spans="1:2" x14ac:dyDescent="0.25">
      <c r="A26" s="46" t="s">
        <v>97</v>
      </c>
      <c r="B26" s="37">
        <v>392.81</v>
      </c>
    </row>
  </sheetData>
  <conditionalFormatting sqref="B1:B2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D16D4-B7C4-47CD-B758-DD6315DE2A60}">
  <dimension ref="A1:X8"/>
  <sheetViews>
    <sheetView zoomScale="70" zoomScaleNormal="70" workbookViewId="0">
      <selection activeCell="J4" sqref="J4:M4"/>
    </sheetView>
  </sheetViews>
  <sheetFormatPr baseColWidth="10" defaultRowHeight="15" x14ac:dyDescent="0.25"/>
  <sheetData>
    <row r="1" spans="1:24" ht="35.25" customHeight="1" x14ac:dyDescent="0.4">
      <c r="A1" s="39" t="s">
        <v>0</v>
      </c>
      <c r="B1" s="19" t="s">
        <v>14</v>
      </c>
      <c r="C1" s="13"/>
      <c r="D1" s="13"/>
      <c r="E1" s="120" t="s">
        <v>28</v>
      </c>
      <c r="F1" s="120"/>
      <c r="G1" s="120"/>
      <c r="H1" s="120"/>
      <c r="I1" s="120"/>
      <c r="J1" s="120"/>
      <c r="K1" s="120"/>
      <c r="L1" s="120"/>
      <c r="M1" s="13"/>
      <c r="N1" s="13"/>
      <c r="O1" s="13"/>
      <c r="P1" s="13"/>
      <c r="Q1" s="13"/>
      <c r="R1" s="13"/>
      <c r="S1" s="13"/>
      <c r="T1" s="5" t="s">
        <v>6</v>
      </c>
      <c r="U1" s="6">
        <v>585.71</v>
      </c>
      <c r="V1" s="26">
        <v>48.8</v>
      </c>
      <c r="W1" s="6">
        <v>500</v>
      </c>
    </row>
    <row r="2" spans="1:24" ht="33.75" customHeight="1" x14ac:dyDescent="0.25">
      <c r="A2" s="39"/>
      <c r="B2" s="1" t="s">
        <v>33</v>
      </c>
      <c r="C2" s="1"/>
      <c r="D2" s="16"/>
      <c r="E2" s="117" t="s">
        <v>32</v>
      </c>
      <c r="F2" s="118"/>
      <c r="G2" s="118"/>
      <c r="H2" s="118"/>
      <c r="I2" s="118"/>
      <c r="J2" s="118"/>
      <c r="K2" s="118"/>
      <c r="L2" s="119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4" ht="60" x14ac:dyDescent="0.25">
      <c r="A3" s="40" t="s">
        <v>1</v>
      </c>
      <c r="B3" s="2" t="s">
        <v>2</v>
      </c>
      <c r="C3" s="2" t="s">
        <v>5</v>
      </c>
      <c r="D3" s="2" t="s">
        <v>12</v>
      </c>
      <c r="E3" s="7" t="s">
        <v>3</v>
      </c>
      <c r="F3" s="7" t="s">
        <v>18</v>
      </c>
      <c r="G3" s="7" t="s">
        <v>23</v>
      </c>
      <c r="H3" s="7" t="s">
        <v>24</v>
      </c>
      <c r="I3" s="7" t="s">
        <v>17</v>
      </c>
      <c r="J3" s="8" t="s">
        <v>7</v>
      </c>
      <c r="K3" s="8" t="s">
        <v>8</v>
      </c>
      <c r="L3" s="8" t="s">
        <v>4</v>
      </c>
      <c r="M3" s="8" t="s">
        <v>9</v>
      </c>
      <c r="N3" s="53" t="s">
        <v>34</v>
      </c>
      <c r="O3" s="53" t="s">
        <v>35</v>
      </c>
      <c r="P3" s="8" t="s">
        <v>25</v>
      </c>
      <c r="Q3" s="8" t="s">
        <v>19</v>
      </c>
      <c r="R3" s="8" t="s">
        <v>20</v>
      </c>
      <c r="S3" s="8" t="s">
        <v>21</v>
      </c>
      <c r="T3" s="8" t="s">
        <v>16</v>
      </c>
      <c r="U3" s="9" t="s">
        <v>10</v>
      </c>
      <c r="V3" s="24" t="s">
        <v>13</v>
      </c>
    </row>
    <row r="4" spans="1:24" x14ac:dyDescent="0.25">
      <c r="A4" s="41">
        <v>45279</v>
      </c>
      <c r="B4" s="45" t="s">
        <v>36</v>
      </c>
      <c r="C4" s="20" t="s">
        <v>22</v>
      </c>
      <c r="D4" s="21" t="s">
        <v>26</v>
      </c>
      <c r="E4" s="10">
        <v>3</v>
      </c>
      <c r="F4" s="22">
        <v>35.71</v>
      </c>
      <c r="G4" s="10"/>
      <c r="H4" s="10"/>
      <c r="I4" s="10"/>
      <c r="J4" s="15">
        <v>207.44</v>
      </c>
      <c r="K4" s="11">
        <v>285.70999999999998</v>
      </c>
      <c r="L4" s="12">
        <f>+K4*E4</f>
        <v>857.12999999999988</v>
      </c>
      <c r="M4" s="12">
        <f>(1/6)*E4*K4</f>
        <v>142.85499999999999</v>
      </c>
      <c r="N4" s="12">
        <f>400/7*E4</f>
        <v>171.42857142857144</v>
      </c>
      <c r="O4" s="12">
        <f>360/7*E4</f>
        <v>154.28571428571428</v>
      </c>
      <c r="P4" s="12"/>
      <c r="Q4" s="12"/>
      <c r="R4" s="28"/>
      <c r="S4" s="28"/>
      <c r="T4" s="12">
        <f>K4*I4*2</f>
        <v>0</v>
      </c>
      <c r="U4" s="43">
        <f>SUM(L4:T4)</f>
        <v>1325.6992857142855</v>
      </c>
      <c r="V4" s="20"/>
      <c r="W4" s="32"/>
      <c r="X4" s="32"/>
    </row>
    <row r="5" spans="1:24" x14ac:dyDescent="0.25">
      <c r="A5" s="54">
        <v>45281</v>
      </c>
      <c r="B5" s="30" t="s">
        <v>37</v>
      </c>
      <c r="C5" s="32" t="s">
        <v>22</v>
      </c>
      <c r="D5" s="21" t="s">
        <v>26</v>
      </c>
      <c r="E5" s="10">
        <v>1</v>
      </c>
      <c r="F5" s="22">
        <v>35.71</v>
      </c>
      <c r="G5" s="10"/>
      <c r="H5" s="10"/>
      <c r="I5" s="10"/>
      <c r="J5" s="15">
        <v>207.44</v>
      </c>
      <c r="K5" s="11">
        <v>285.70999999999998</v>
      </c>
      <c r="L5" s="12">
        <f>+K5*E5</f>
        <v>285.70999999999998</v>
      </c>
      <c r="M5" s="12">
        <f>(1/6)*E5*K5</f>
        <v>47.618333333333325</v>
      </c>
      <c r="N5" s="12">
        <f>400/7*E5</f>
        <v>57.142857142857146</v>
      </c>
      <c r="O5" s="12">
        <f>360/7*E5</f>
        <v>51.428571428571431</v>
      </c>
      <c r="P5" s="12"/>
      <c r="Q5" s="12"/>
      <c r="R5" s="28"/>
      <c r="S5" s="28"/>
      <c r="T5" s="12">
        <f>K5*I5*2</f>
        <v>0</v>
      </c>
      <c r="U5" s="43">
        <f>SUM(L5:T5)</f>
        <v>441.89976190476193</v>
      </c>
      <c r="V5" s="20"/>
    </row>
    <row r="7" spans="1:24" x14ac:dyDescent="0.25">
      <c r="N7">
        <f>400/7</f>
        <v>57.142857142857146</v>
      </c>
      <c r="O7">
        <f>360/7</f>
        <v>51.428571428571431</v>
      </c>
    </row>
    <row r="8" spans="1:24" x14ac:dyDescent="0.25">
      <c r="N8">
        <f>+N7*3</f>
        <v>171.42857142857144</v>
      </c>
      <c r="O8">
        <f>+O7*3</f>
        <v>154.28571428571428</v>
      </c>
    </row>
  </sheetData>
  <mergeCells count="2">
    <mergeCell ref="E1:L1"/>
    <mergeCell ref="E2:L2"/>
  </mergeCells>
  <conditionalFormatting sqref="A3:V4">
    <cfRule type="cellIs" dxfId="5" priority="2" operator="lessThan">
      <formula>0</formula>
    </cfRule>
  </conditionalFormatting>
  <conditionalFormatting sqref="B1:D2">
    <cfRule type="cellIs" dxfId="4" priority="8" operator="lessThan">
      <formula>0</formula>
    </cfRule>
  </conditionalFormatting>
  <conditionalFormatting sqref="D5:V5">
    <cfRule type="cellIs" dxfId="3" priority="1" operator="lessThan">
      <formula>0</formula>
    </cfRule>
  </conditionalFormatting>
  <conditionalFormatting sqref="E2:I2">
    <cfRule type="cellIs" dxfId="2" priority="3" operator="lessThan">
      <formula>0</formula>
    </cfRule>
  </conditionalFormatting>
  <conditionalFormatting sqref="M2:V2">
    <cfRule type="cellIs" dxfId="1" priority="7" operator="lessThan">
      <formula>0</formula>
    </cfRule>
  </conditionalFormatting>
  <conditionalFormatting sqref="T1:W1"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SEM 38</vt:lpstr>
      <vt:lpstr>Hoja2</vt:lpstr>
      <vt:lpstr>Hoja1</vt:lpstr>
      <vt:lpstr>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EARLSA CLEAN</cp:lastModifiedBy>
  <cp:lastPrinted>2023-08-19T00:26:43Z</cp:lastPrinted>
  <dcterms:created xsi:type="dcterms:W3CDTF">2023-02-02T20:45:40Z</dcterms:created>
  <dcterms:modified xsi:type="dcterms:W3CDTF">2026-09-18T18:31:41Z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